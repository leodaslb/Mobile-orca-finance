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48064f12b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e839fe6cf604afb"/>
    <x:sheet xmlns:r="http://schemas.openxmlformats.org/officeDocument/2006/relationships" name="Prioridades e Sprints" sheetId="2" r:id="Rce1fba72f462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75D87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3" fillId="4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/>
    </x:xf>
    <x:xf numFmtId="0" fontId="4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7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/>
    </x:xf>
    <x:xf numFmtId="0" fontId="0" fillId="7" borderId="7" xfId="0" applyNumberFormat="1" applyFont="1" applyFill="1" applyBorder="1" applyAlignment="1">
      <x:alignment horizontal="center"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horizontal="center" vertical="top"/>
    </x:xf>
    <x:xf numFmtId="0" fontId="0" fillId="7" borderId="10" xfId="0" applyNumberFormat="1" applyFont="1" applyFill="1" applyBorder="1" applyAlignment="1">
      <x:alignment horizontal="center"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horizontal="center" vertical="top"/>
    </x:xf>
    <x:xf numFmtId="0" fontId="0" fillId="0" borderId="12" xfId="0" applyNumberFormat="1" applyFont="1" applyFill="1" applyBorder="1" applyAlignment="1">
      <x:alignment horizontal="center" vertical="top"/>
    </x:xf>
    <x:xf numFmtId="0" fontId="0" fillId="7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/>
    </x:xf>
    <x:xf numFmtId="0" fontId="0" fillId="7" borderId="15" xfId="0" applyNumberFormat="1" applyFont="1" applyFill="1" applyBorder="1" applyAlignment="1">
      <x:alignment horizontal="center"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top"/>
    </x:xf>
    <x:xf numFmtId="0" fontId="0" fillId="0" borderId="17" xfId="0" applyNumberFormat="1" applyFont="1" applyFill="1" applyBorder="1" applyAlignment="1">
      <x:alignment horizontal="center" vertical="top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EADCF8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4D7F5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b0f9b7da646a7" /><Relationship Type="http://schemas.openxmlformats.org/officeDocument/2006/relationships/theme" Target="/xl/theme/theme1.xml" Id="R7bc820273b3e4d65" /><Relationship Type="http://schemas.openxmlformats.org/officeDocument/2006/relationships/sharedStrings" Target="/xl/sharedStrings.xml" Id="R681aa88a9b7148d6" /><Relationship Type="http://schemas.openxmlformats.org/officeDocument/2006/relationships/worksheet" Target="/xl/worksheets/sheet1.xml" Id="R9e839fe6cf604afb" /><Relationship Type="http://schemas.openxmlformats.org/officeDocument/2006/relationships/worksheet" Target="/xl/worksheets/sheet2.xml" Id="Rce1fba72f4624cc0" /></Relationships>
</file>

<file path=xl/tables/table1.xml><?xml version="1.0" encoding="utf-8"?>
<x:table xmlns:x="http://schemas.openxmlformats.org/spreadsheetml/2006/main" id="1" name="PrioridadesSprintsTable" displayName="PrioridadesSprintsTable" ref="A2:D59" totalsRowShown="0">
  <x:autoFilter ref="A2:D59"/>
  <x:sortState ref="A3:D59">
    <x:sortCondition ref="D2:D59"/>
  </x:sortState>
  <x:tableColumns count="4">
    <x:tableColumn id="1" name="US"/>
    <x:tableColumn id="2" name="Texto da User Story"/>
    <x:tableColumn id="3" name="Prioridade"/>
    <x:tableColumn id="4" name="Spr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26332d3b1f4bc8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30" hidden="0" customWidth="1"/>
    <x:col min="2" max="2" width="20" hidden="0" customWidth="1"/>
    <x:col min="3" max="3" width="4" hidden="0" customWidth="1"/>
    <x:col min="4" max="4" width="20" hidden="0" customWidth="1"/>
    <x:col min="5" max="5" width="14" hidden="0" customWidth="1"/>
  </x:cols>
  <x:sheetData>
    <x:row r="1" ht="30" customHeight="1">
      <x:c r="A1" s="58" t="str">
        <x:v>Orca Finance — Priorização e Sprints Candidatas</x:v>
      </x:c>
      <x:c r="B1" s="58"/>
      <x:c r="C1" s="58"/>
      <x:c r="D1" s="58"/>
      <x:c r="E1" s="2"/>
    </x:row>
    <x:row r="2" ht="38" customHeight="1">
      <x:c r="A2" s="61" t="str">
        <x:v>Distribuição sincronizada com o backlog revisado, incluindo a US60 de cadastro/autenticação.</x:v>
      </x:c>
      <x:c r="B2" s="61"/>
      <x:c r="C2" s="61"/>
      <x:c r="D2" s="61"/>
      <x:c r="E2" s="2"/>
    </x:row>
    <x:row r="3">
      <x:c r="A3" s="2"/>
      <x:c r="B3" s="2"/>
      <x:c r="C3" s="2"/>
      <x:c r="D3" s="2"/>
      <x:c r="E3" s="2"/>
    </x:row>
    <x:row r="4">
      <x:c r="A4" s="63" t="str">
        <x:v>Indicador</x:v>
      </x:c>
      <x:c r="B4" s="63" t="str">
        <x:v>Valor</x:v>
      </x:c>
      <x:c r="C4" s="2"/>
      <x:c r="D4" s="63" t="str">
        <x:v>Sprint</x:v>
      </x:c>
      <x:c r="E4" s="63" t="str">
        <x:v>Qtd. US</x:v>
      </x:c>
    </x:row>
    <x:row r="5">
      <x:c r="A5" s="26" t="str">
        <x:v>Total de User Stories</x:v>
      </x:c>
      <x:c r="B5" s="26" t="n">
        <x:f>COUNTA('Prioridades e Sprints'!A3:A60)</x:f>
        <x:v>58</x:v>
      </x:c>
      <x:c r="C5" s="2"/>
      <x:c r="D5" s="26" t="str">
        <x:v>Sprint 1</x:v>
      </x:c>
      <x:c r="E5" s="26" t="n">
        <x:f>COUNTIF('Prioridades e Sprints'!D3:D60,1)</x:f>
        <x:v>18</x:v>
      </x:c>
    </x:row>
    <x:row r="6">
      <x:c r="A6" s="26" t="str">
        <x:v>Prioridade Alta</x:v>
      </x:c>
      <x:c r="B6" s="26" t="n">
        <x:f>COUNTIF('Prioridades e Sprints'!C3:C60,"Alta")</x:f>
        <x:v>15</x:v>
      </x:c>
      <x:c r="C6" s="2"/>
      <x:c r="D6" s="26" t="str">
        <x:v>Sprint 2</x:v>
      </x:c>
      <x:c r="E6" s="26" t="n">
        <x:f>COUNTIF('Prioridades e Sprints'!D3:D60,2)</x:f>
        <x:v>19</x:v>
      </x:c>
    </x:row>
    <x:row r="7">
      <x:c r="A7" s="26" t="str">
        <x:v>Prioridade Média</x:v>
      </x:c>
      <x:c r="B7" s="26" t="n">
        <x:f>COUNTIF('Prioridades e Sprints'!C3:C60,"Média")</x:f>
        <x:v>28</x:v>
      </x:c>
      <x:c r="C7" s="2"/>
      <x:c r="D7" s="26" t="str">
        <x:v>Sprint 3</x:v>
      </x:c>
      <x:c r="E7" s="26" t="n">
        <x:f>COUNTIF('Prioridades e Sprints'!D3:D60,3)</x:f>
        <x:v>21</x:v>
      </x:c>
    </x:row>
    <x:row r="8">
      <x:c r="A8" s="26" t="str">
        <x:v>Prioridade Baixa</x:v>
      </x:c>
      <x:c r="B8" s="26" t="n">
        <x:f>COUNTIF('Prioridades e Sprints'!C3:C60,"Baixa")</x:f>
        <x:v>15</x:v>
      </x:c>
      <x:c r="C8" s="2"/>
      <x:c r="D8" s="65" t="str">
        <x:v>Total</x:v>
      </x:c>
      <x:c r="E8" s="65" t="n">
        <x:f>SUM(E5:E7)</x:f>
        <x:v>58</x:v>
      </x:c>
    </x:row>
    <x:row r="9">
      <x:c r="A9" s="65" t="str">
        <x:v>Distribuição</x:v>
      </x:c>
      <x:c r="B9" s="65" t="str">
        <x:f>E5&amp;" / "&amp;E6&amp;" / "&amp;E7</x:f>
        <x:v>18 / 19 / 21</x:v>
      </x:c>
      <x:c r="C9" s="2"/>
      <x:c r="D9" s="2"/>
      <x:c r="E9" s="2"/>
    </x:row>
    <x:row r="10">
      <x:c r="A10" s="2"/>
      <x:c r="B10" s="2"/>
      <x:c r="C10" s="2"/>
      <x:c r="D10" s="2"/>
      <x:c r="E10" s="2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hidden="0" customWidth="1"/>
    <x:col min="2" max="2" width="78" hidden="0" customWidth="1"/>
    <x:col min="3" max="3" width="16" hidden="0" customWidth="1"/>
    <x:col min="4" max="4" width="11" hidden="0" customWidth="1"/>
  </x:cols>
  <x:sheetData>
    <x:row r="1" ht="30" customHeight="1">
      <x:c r="A1" s="19" t="str">
        <x:v>Orca Finance — User Stories por Prioridade e Sprint Candidata</x:v>
      </x:c>
      <x:c r="B1" s="19"/>
      <x:c r="C1" s="19"/>
      <x:c r="D1" s="19"/>
    </x:row>
    <x:row r="2" ht="22" customHeight="1">
      <x:c r="A2" s="22" t="str">
        <x:v>US</x:v>
      </x:c>
      <x:c r="B2" s="22" t="str">
        <x:v>Texto da User Story</x:v>
      </x:c>
      <x:c r="C2" s="22" t="str">
        <x:v>Prioridade</x:v>
      </x:c>
      <x:c r="D2" s="22" t="str">
        <x:v>Sprint</x:v>
      </x:c>
    </x:row>
    <x:row r="3" ht="26.399999618530273" hidden="0" customHeight="1">
      <x:c r="A3" s="37" t="str">
        <x:v>US01</x:v>
      </x:c>
      <x:c r="B3" s="38" t="str">
        <x:v>Como usuário, quero registrar manualmente receitas e despesas com valor, data, hora, descrição e categoria para manter meu histórico financeiro atualizado.</x:v>
      </x:c>
      <x:c r="C3" s="39" t="str">
        <x:v>Alta</x:v>
      </x:c>
      <x:c r="D3" s="40" t="n">
        <x:v>1</x:v>
      </x:c>
    </x:row>
    <x:row r="4" ht="26.399999618530273" hidden="0" customHeight="1">
      <x:c r="A4" s="41" t="str">
        <x:v>US02</x:v>
      </x:c>
      <x:c r="B4" s="34" t="str">
        <x:v>Como usuário, quero complementar minhas transações com tags, anotações, método de pagamento e classificações aplicáveis para organizá-las e analisá-las com mais contexto.</x:v>
      </x:c>
      <x:c r="C4" s="30" t="str">
        <x:v>Alta</x:v>
      </x:c>
      <x:c r="D4" s="42" t="n">
        <x:v>1</x:v>
      </x:c>
    </x:row>
    <x:row r="5" ht="26.399999618530273" hidden="0" customHeight="1">
      <x:c r="A5" s="41" t="str">
        <x:v>US03</x:v>
      </x:c>
      <x:c r="B5" s="34" t="str">
        <x:v>Como usuário, quero buscar e filtrar transações por data, categoria, descrição, valor e método de pagamento para localizar registros específicos com rapidez.</x:v>
      </x:c>
      <x:c r="C5" s="30" t="str">
        <x:v>Alta</x:v>
      </x:c>
      <x:c r="D5" s="42" t="n">
        <x:v>1</x:v>
      </x:c>
    </x:row>
    <x:row r="6" ht="26.399999618530273" hidden="0" customHeight="1">
      <x:c r="A6" s="41" t="str">
        <x:v>US05</x:v>
      </x:c>
      <x:c r="B6" s="34" t="str">
        <x:v>Como usuário, quero criar subcategorias personalizadas dentro das categorias principais para organizar meus gastos com mais precisão.</x:v>
      </x:c>
      <x:c r="C6" s="30" t="str">
        <x:v>Alta</x:v>
      </x:c>
      <x:c r="D6" s="42" t="n">
        <x:v>1</x:v>
      </x:c>
    </x:row>
    <x:row r="7" ht="26.399999618530273" hidden="0" customHeight="1">
      <x:c r="A7" s="41" t="str">
        <x:v>US06</x:v>
      </x:c>
      <x:c r="B7" s="34" t="str">
        <x:v>Como usuário, quero definir limites mensais por categoria, inclusive para gastos com serviços digitais, e visualizar alertas ao me aproximar ou exceder esses limites para controlar meu orçamento.</x:v>
      </x:c>
      <x:c r="C7" s="30" t="str">
        <x:v>Alta</x:v>
      </x:c>
      <x:c r="D7" s="42" t="n">
        <x:v>1</x:v>
      </x:c>
    </x:row>
    <x:row r="8" ht="26.399999618530273" hidden="0" customHeight="1">
      <x:c r="A8" s="41" t="str">
        <x:v>US10</x:v>
      </x:c>
      <x:c r="B8" s="34" t="str">
        <x:v>Como usuário, quero criar e acompanhar metas de economia com valor-alvo, data-limite e sugestão de economia diária ou semanal para planejar meus objetivos financeiros.</x:v>
      </x:c>
      <x:c r="C8" s="30" t="str">
        <x:v>Alta</x:v>
      </x:c>
      <x:c r="D8" s="42" t="n">
        <x:v>1</x:v>
      </x:c>
    </x:row>
    <x:row r="9" ht="26.399999618530273" hidden="0" customHeight="1">
      <x:c r="A9" s="41" t="str">
        <x:v>US12</x:v>
      </x:c>
      <x:c r="B9" s="34" t="str">
        <x:v>Como usuário, quero usar mecanismos de reflexão antes de comprar, incluindo período de espera e pergunta ao registrar uma compra não essencial, para reduzir decisões impulsivas.</x:v>
      </x:c>
      <x:c r="C9" s="30" t="str">
        <x:v>Alta</x:v>
      </x:c>
      <x:c r="D9" s="42" t="n">
        <x:v>1</x:v>
      </x:c>
    </x:row>
    <x:row r="10" ht="26.399999618530273" hidden="0" customHeight="1">
      <x:c r="A10" s="41" t="str">
        <x:v>US13</x:v>
      </x:c>
      <x:c r="B10" s="34" t="str">
        <x:v>Como usuário, quero visualizar gráficos de gastos por categoria e período para compreender a distribuição das minhas despesas.</x:v>
      </x:c>
      <x:c r="C10" s="30" t="str">
        <x:v>Alta</x:v>
      </x:c>
      <x:c r="D10" s="42" t="n">
        <x:v>1</x:v>
      </x:c>
    </x:row>
    <x:row r="11" ht="26.399999618530273" hidden="0" customHeight="1">
      <x:c r="A11" s="41" t="str">
        <x:v>US15</x:v>
      </x:c>
      <x:c r="B11" s="34" t="str">
        <x:v>Como usuário, quero visualizar saldo, gastos do mês, progresso das metas e comparação com o mês anterior em um painel para entender rapidamente minha situação financeira.</x:v>
      </x:c>
      <x:c r="C11" s="30" t="str">
        <x:v>Alta</x:v>
      </x:c>
      <x:c r="D11" s="42" t="n">
        <x:v>1</x:v>
      </x:c>
    </x:row>
    <x:row r="12" ht="26.399999618530273" hidden="0" customHeight="1">
      <x:c r="A12" s="41" t="str">
        <x:v>US24</x:v>
      </x:c>
      <x:c r="B12" s="34" t="str">
        <x:v>Como usuário, quero configurar receitas e despesas recorrentes e lembretes de vencimento associados a transações futuras para automatizar lançamentos e evitar atrasos.</x:v>
      </x:c>
      <x:c r="C12" s="30" t="str">
        <x:v>Alta</x:v>
      </x:c>
      <x:c r="D12" s="42" t="n">
        <x:v>1</x:v>
      </x:c>
    </x:row>
    <x:row r="13" ht="26.399999618530273" hidden="0" customHeight="1">
      <x:c r="A13" s="41" t="str">
        <x:v>US29</x:v>
      </x:c>
      <x:c r="B13" s="34" t="str">
        <x:v>Como usuário, quero definir limite diário e limites por categoria, escolhendo os canais de alerta aplicáveis, para ser avisado quando meus gastos atingirem os valores definidos.</x:v>
      </x:c>
      <x:c r="C13" s="30" t="str">
        <x:v>Alta</x:v>
      </x:c>
      <x:c r="D13" s="42" t="n">
        <x:v>1</x:v>
      </x:c>
    </x:row>
    <x:row r="14" ht="26.399999618530273" hidden="0" customHeight="1">
      <x:c r="A14" s="41" t="str">
        <x:v>US37</x:v>
      </x:c>
      <x:c r="B14" s="34" t="str">
        <x:v>Como usuário, quero proteger o acesso local ao aplicativo por biometria ou PIN para manter meus dados financeiros seguros.</x:v>
      </x:c>
      <x:c r="C14" s="30" t="str">
        <x:v>Alta</x:v>
      </x:c>
      <x:c r="D14" s="42" t="n">
        <x:v>1</x:v>
      </x:c>
    </x:row>
    <x:row r="15" ht="26.399999618530273" hidden="0" customHeight="1">
      <x:c r="A15" s="41" t="str">
        <x:v>US40</x:v>
      </x:c>
      <x:c r="B15" s="34" t="str">
        <x:v>Como usuário, quero comparar o orçamento planejado com os gastos realizados para identificar desvios e as categorias que mais contribuíram para eles.</x:v>
      </x:c>
      <x:c r="C15" s="30" t="str">
        <x:v>Alta</x:v>
      </x:c>
      <x:c r="D15" s="42" t="n">
        <x:v>1</x:v>
      </x:c>
    </x:row>
    <x:row r="16" ht="26.399999618530273" hidden="0" customHeight="1">
      <x:c r="A16" s="41" t="str">
        <x:v>US44</x:v>
      </x:c>
      <x:c r="B16" s="34" t="str">
        <x:v>Como usuário, quero reverter uma transação registrada por engano sem manter seu efeito nos cálculos, preservando a rastreabilidade da exclusão para corrigir meu histórico com segurança.</x:v>
      </x:c>
      <x:c r="C16" s="30" t="str">
        <x:v>Alta</x:v>
      </x:c>
      <x:c r="D16" s="42" t="n">
        <x:v>1</x:v>
      </x:c>
    </x:row>
    <x:row r="17" ht="26.399999618530273" hidden="0" customHeight="1">
      <x:c r="A17" s="41" t="str">
        <x:v>US60</x:v>
      </x:c>
      <x:c r="B17" s="34" t="str">
        <x:v>Como usuário, quero criar uma conta e me autenticar no aplicativo para 
acessar de forma segura meus perfis e dados financeiros.</x:v>
      </x:c>
      <x:c r="C17" s="30" t="str">
        <x:v>Alta</x:v>
      </x:c>
      <x:c r="D17" s="42" t="n">
        <x:v>1</x:v>
      </x:c>
    </x:row>
    <x:row r="18" ht="26.399999618530273" hidden="0" customHeight="1">
      <x:c r="A18" s="41" t="str">
        <x:v>US14</x:v>
      </x:c>
      <x:c r="B18" s="34" t="str">
        <x:v>Como usuário, quero exportar meus dados financeiros em CSV e em formato compatível com Excel para analisá-los externamente ou manter uma cópia das informações.</x:v>
      </x:c>
      <x:c r="C18" s="30" t="str">
        <x:v>Média</x:v>
      </x:c>
      <x:c r="D18" s="42" t="n">
        <x:v>1</x:v>
      </x:c>
    </x:row>
    <x:row r="19" ht="26.399999618530273" hidden="0" customHeight="1">
      <x:c r="A19" s="41" t="str">
        <x:v>US19</x:v>
      </x:c>
      <x:c r="B19" s="34" t="str">
        <x:v>Como usuário, quero anexar uma foto do recibo ao registrar uma despesa usando a câmera do dispositivo para manter um comprovante associado à transação.</x:v>
      </x:c>
      <x:c r="C19" s="30" t="str">
        <x:v>Média</x:v>
      </x:c>
      <x:c r="D19" s="42" t="n">
        <x:v>1</x:v>
      </x:c>
    </x:row>
    <x:row r="20" ht="26.399999618530273" hidden="0" customHeight="1">
      <x:c r="A20" s="41" t="str">
        <x:v>US45</x:v>
      </x:c>
      <x:c r="B20" s="34" t="str">
        <x:v>Como usuário, quero definir uma cota mensal de gastos livres sem categorização para manter flexibilidade dentro do meu planejamento.</x:v>
      </x:c>
      <x:c r="C20" s="30" t="str">
        <x:v>Média</x:v>
      </x:c>
      <x:c r="D20" s="42" t="n">
        <x:v>1</x:v>
      </x:c>
    </x:row>
    <x:row r="21" ht="26.399999618530273" hidden="0" customHeight="1">
      <x:c r="A21" s="41" t="str">
        <x:v>US04</x:v>
      </x:c>
      <x:c r="B21" s="34" t="str">
        <x:v>Como usuário, quero consultar o histórico de alterações e exclusões de uma transação para compreender o que foi modificado ao longo do tempo.</x:v>
      </x:c>
      <x:c r="C21" s="30" t="str">
        <x:v>Média</x:v>
      </x:c>
      <x:c r="D21" s="42" t="n">
        <x:v>2</x:v>
      </x:c>
    </x:row>
    <x:row r="22" ht="26.399999618530273" hidden="0" customHeight="1">
      <x:c r="A22" s="41" t="str">
        <x:v>US07</x:v>
      </x:c>
      <x:c r="B22" s="34" t="str">
        <x:v>Como usuário, quero criar orçamentos com períodos flexíveis e temporários, inclusive vinculados a eventos, para planejar gastos fora do ciclo mensal padrão.</x:v>
      </x:c>
      <x:c r="C22" s="30" t="str">
        <x:v>Média</x:v>
      </x:c>
      <x:c r="D22" s="42" t="n">
        <x:v>2</x:v>
      </x:c>
    </x:row>
    <x:row r="23" ht="26.399999618530273" hidden="0" customHeight="1">
      <x:c r="A23" s="41" t="str">
        <x:v>US09</x:v>
      </x:c>
      <x:c r="B23" s="34" t="str">
        <x:v>Como usuário, quero distribuir a renda do período entre categorias em um orçamento zero para dar destino a todo o valor planejado.</x:v>
      </x:c>
      <x:c r="C23" s="30" t="str">
        <x:v>Média</x:v>
      </x:c>
      <x:c r="D23" s="42" t="n">
        <x:v>2</x:v>
      </x:c>
    </x:row>
    <x:row r="24" ht="39.599998474121094" hidden="0" customHeight="1">
      <x:c r="A24" s="41" t="str">
        <x:v>US16</x:v>
      </x:c>
      <x:c r="B24" s="34" t="str">
        <x:v>Como usuário, quero receber lembretes push para registrar transações possivelmente esquecidas, com base no meu histórico de gastos ou em horários predefinidos, para reduzir omissões no controle financeiro.</x:v>
      </x:c>
      <x:c r="C24" s="30" t="str">
        <x:v>Média</x:v>
      </x:c>
      <x:c r="D24" s="42" t="n">
        <x:v>2</x:v>
      </x:c>
    </x:row>
    <x:row r="25" ht="39.599998474121094" hidden="0" customHeight="1">
      <x:c r="A25" s="41" t="str">
        <x:v>US17</x:v>
      </x:c>
      <x:c r="B25" s="34" t="str">
        <x:v>Como usuário, quero participar de um desafio de economia com período e valor-alvo definidos, acompanhando meu progresso e recebendo mensagens de incentivo para desenvolver o hábito de economizar.</x:v>
      </x:c>
      <x:c r="C25" s="30" t="str">
        <x:v>Média</x:v>
      </x:c>
      <x:c r="D25" s="42" t="n">
        <x:v>2</x:v>
      </x:c>
    </x:row>
    <x:row r="26" ht="26.399999618530273" hidden="0" customHeight="1">
      <x:c r="A26" s="41" t="str">
        <x:v>US18</x:v>
      </x:c>
      <x:c r="B26" s="34" t="str">
        <x:v>Como usuário, quero manter e alternar entre perfis financeiros separados para administrar diferentes contextos de finanças.</x:v>
      </x:c>
      <x:c r="C26" s="30" t="str">
        <x:v>Média</x:v>
      </x:c>
      <x:c r="D26" s="42" t="n">
        <x:v>2</x:v>
      </x:c>
    </x:row>
    <x:row r="27" ht="26.399999618530273" hidden="0" customHeight="1">
      <x:c r="A27" s="41" t="str">
        <x:v>US20</x:v>
      </x:c>
      <x:c r="B27" s="34" t="str">
        <x:v>Como usuário, quero criar regras explícitas de automação para classificar atributos das transações e reduzir tarefas repetitivas.</x:v>
      </x:c>
      <x:c r="C27" s="30" t="str">
        <x:v>Média</x:v>
      </x:c>
      <x:c r="D27" s="42" t="n">
        <x:v>2</x:v>
      </x:c>
    </x:row>
    <x:row r="28" ht="26.399999618530273" hidden="0" customHeight="1">
      <x:c r="A28" s="41" t="str">
        <x:v>US21</x:v>
      </x:c>
      <x:c r="B28" s="34" t="str">
        <x:v>Como usuário, quero sincronizar meus dados financeiros entre dispositivos para acessar informações consistentes em diferentes aparelhos.</x:v>
      </x:c>
      <x:c r="C28" s="30" t="str">
        <x:v>Média</x:v>
      </x:c>
      <x:c r="D28" s="42" t="n">
        <x:v>2</x:v>
      </x:c>
    </x:row>
    <x:row r="29" ht="26.399999618530273" hidden="0" customHeight="1">
      <x:c r="A29" s="41" t="str">
        <x:v>US25</x:v>
      </x:c>
      <x:c r="B29" s="34" t="str">
        <x:v>Como usuário, quero visualizar taxa de poupança e saldo médio diário para acompanhar meu desempenho financeiro.</x:v>
      </x:c>
      <x:c r="C29" s="30" t="str">
        <x:v>Média</x:v>
      </x:c>
      <x:c r="D29" s="42" t="n">
        <x:v>2</x:v>
      </x:c>
    </x:row>
    <x:row r="30" ht="26.399999618530273" hidden="0" customHeight="1">
      <x:c r="A30" s="41" t="str">
        <x:v>US27</x:v>
      </x:c>
      <x:c r="B30" s="34" t="str">
        <x:v>Como usuário, quero simular o impacto de uma compra, inclusive parcelada, no orçamento atual e futuro para avaliar seu comprometimento antes de decidir.</x:v>
      </x:c>
      <x:c r="C30" s="30" t="str">
        <x:v>Média</x:v>
      </x:c>
      <x:c r="D30" s="42" t="n">
        <x:v>2</x:v>
      </x:c>
    </x:row>
    <x:row r="31" ht="26.399999618530273" hidden="0" customHeight="1">
      <x:c r="A31" s="41" t="str">
        <x:v>US31</x:v>
      </x:c>
      <x:c r="B31" s="34" t="str">
        <x:v>Como usuário, quero calcular juros compostos e o valor futuro hipotético de um gasto não realizado para comparar cenários de investimento e consumo.</x:v>
      </x:c>
      <x:c r="C31" s="30" t="str">
        <x:v>Média</x:v>
      </x:c>
      <x:c r="D31" s="42" t="n">
        <x:v>2</x:v>
      </x:c>
    </x:row>
    <x:row r="32" ht="26.399999618530273" hidden="0" customHeight="1">
      <x:c r="A32" s="41" t="str">
        <x:v>US32</x:v>
      </x:c>
      <x:c r="B32" s="34" t="str">
        <x:v>Como usuário, quero visualizar a projeção de entradas, saídas e saldo futuro para antecipar meu fluxo de caixa de curto prazo.</x:v>
      </x:c>
      <x:c r="C32" s="30" t="str">
        <x:v>Média</x:v>
      </x:c>
      <x:c r="D32" s="42" t="n">
        <x:v>2</x:v>
      </x:c>
    </x:row>
    <x:row r="33" ht="26.399999618530273" hidden="0" customHeight="1">
      <x:c r="A33" s="41" t="str">
        <x:v>US35</x:v>
      </x:c>
      <x:c r="B33" s="34" t="str">
        <x:v>Como usuário, quero visualizar se meus gastos por categoria estão aumentando, diminuindo ou permanecendo estáveis ao longo do tempo para identificar mudanças de comportamento.</x:v>
      </x:c>
      <x:c r="C33" s="30" t="str">
        <x:v>Média</x:v>
      </x:c>
      <x:c r="D33" s="42" t="n">
        <x:v>2</x:v>
      </x:c>
    </x:row>
    <x:row r="34" ht="26.399999618530273" hidden="0" customHeight="1">
      <x:c r="A34" s="41" t="str">
        <x:v>US42</x:v>
      </x:c>
      <x:c r="B34" s="34" t="str">
        <x:v>Como usuário, quero importar transações de CSV ou extrato em formato predefinido para evitar o registro manual de informações já existentes.</x:v>
      </x:c>
      <x:c r="C34" s="30" t="str">
        <x:v>Média</x:v>
      </x:c>
      <x:c r="D34" s="42" t="n">
        <x:v>2</x:v>
      </x:c>
    </x:row>
    <x:row r="35" ht="26.399999618530273" hidden="0" customHeight="1">
      <x:c r="A35" s="41" t="str">
        <x:v>US51</x:v>
      </x:c>
      <x:c r="B35" s="34" t="str">
        <x:v>Como usuário, quero criar um plano de economia para uma compra de alto valor com parcelas mensais compatíveis com meu orçamento para saber como alcançar esse objetivo.</x:v>
      </x:c>
      <x:c r="C35" s="30" t="str">
        <x:v>Média</x:v>
      </x:c>
      <x:c r="D35" s="42" t="n">
        <x:v>2</x:v>
      </x:c>
    </x:row>
    <x:row r="36" ht="26.399999618530273" hidden="0" customHeight="1">
      <x:c r="A36" s="41" t="str">
        <x:v>US52</x:v>
      </x:c>
      <x:c r="B36" s="34" t="str">
        <x:v>Como usuário, quero criar regras de gastos baseadas em limites proporcionais e ser alertado quando elas forem violadas para controlar meu comportamento financeiro.</x:v>
      </x:c>
      <x:c r="C36" s="30" t="str">
        <x:v>Média</x:v>
      </x:c>
      <x:c r="D36" s="42" t="n">
        <x:v>2</x:v>
      </x:c>
    </x:row>
    <x:row r="37" ht="39.599998474121094" hidden="0" customHeight="1">
      <x:c r="A37" s="41" t="str">
        <x:v>US54</x:v>
      </x:c>
      <x:c r="B37" s="34" t="str">
        <x:v>Como usuário, quero receber por notificação push um resumo semanal que destaque meus maiores gastos e o progresso em relação ao orçamento para acompanhar minha situação financeira regularmente.</x:v>
      </x:c>
      <x:c r="C37" s="30" t="str">
        <x:v>Média</x:v>
      </x:c>
      <x:c r="D37" s="42" t="n">
        <x:v>2</x:v>
      </x:c>
    </x:row>
    <x:row r="38" ht="26.399999618530273" hidden="0" customHeight="1">
      <x:c r="A38" s="41" t="str">
        <x:v>US58</x:v>
      </x:c>
      <x:c r="B38" s="34" t="str">
        <x:v>Como usuário, quero visualizar a porcentagem de metas de economia cumpridas em um período histórico definido para avaliar minha consistência no alcance de objetivos.</x:v>
      </x:c>
      <x:c r="C38" s="30" t="str">
        <x:v>Média</x:v>
      </x:c>
      <x:c r="D38" s="42" t="n">
        <x:v>2</x:v>
      </x:c>
    </x:row>
    <x:row r="39" ht="39.599998474121094" hidden="0" customHeight="1">
      <x:c r="A39" s="41" t="str">
        <x:v>US59</x:v>
      </x:c>
      <x:c r="B39" s="34" t="str">
        <x:v>Como usuário, quero participar de um desafio para reduzir gastos em uma categoria específica de despesas essenciais e receber sugestões de alternativas mais econômicas para melhorar meus hábitos de consumo.</x:v>
      </x:c>
      <x:c r="C39" s="30" t="str">
        <x:v>Média</x:v>
      </x:c>
      <x:c r="D39" s="42" t="n">
        <x:v>2</x:v>
      </x:c>
    </x:row>
    <x:row r="40" ht="26.399999618530273" hidden="0" customHeight="1">
      <x:c r="A40" s="41" t="str">
        <x:v>US38</x:v>
      </x:c>
      <x:c r="B40" s="34" t="str">
        <x:v>Como usuário, quero registrar livremente minhas motivações para comprar algo em um diário de consumo para refletir sobre meus hábitos e decisões de compra.</x:v>
      </x:c>
      <x:c r="C40" s="30" t="str">
        <x:v>Média</x:v>
      </x:c>
      <x:c r="D40" s="42" t="n">
        <x:v>3</x:v>
      </x:c>
    </x:row>
    <x:row r="41" ht="26.399999618530273" hidden="0" customHeight="1">
      <x:c r="A41" s="41" t="str">
        <x:v>US46</x:v>
      </x:c>
      <x:c r="B41" s="34" t="str">
        <x:v>Como usuário, quero configurar aplicativos gatilho para receber uma pergunta reflexiva quando eu os abrir e reduzir compras por impulso.</x:v>
      </x:c>
      <x:c r="C41" s="30" t="str">
        <x:v>Média</x:v>
      </x:c>
      <x:c r="D41" s="42" t="n">
        <x:v>3</x:v>
      </x:c>
    </x:row>
    <x:row r="42" ht="26.399999618530273" hidden="0" customHeight="1">
      <x:c r="A42" s="41" t="str">
        <x:v>US48</x:v>
      </x:c>
      <x:c r="B42" s="34" t="str">
        <x:v>Como usuário, quero receber sugestões de categoria com base no meu histórico de descrições semelhantes para categorizar novas despesas com menos esforço.</x:v>
      </x:c>
      <x:c r="C42" s="30" t="str">
        <x:v>Média</x:v>
      </x:c>
      <x:c r="D42" s="42" t="n">
        <x:v>3</x:v>
      </x:c>
    </x:row>
    <x:row r="43" ht="26.399999618530273" hidden="0" customHeight="1">
      <x:c r="A43" s="41" t="str">
        <x:v>US50</x:v>
      </x:c>
      <x:c r="B43" s="34" t="str">
        <x:v>Como usuário, quero visualizar uma pontuação de saúde financeira baseada nas métricas definidas pelo produto para entender minha situação geral.</x:v>
      </x:c>
      <x:c r="C43" s="30" t="str">
        <x:v>Média</x:v>
      </x:c>
      <x:c r="D43" s="42" t="n">
        <x:v>3</x:v>
      </x:c>
    </x:row>
    <x:row r="44" ht="26.399999618530273" hidden="0" customHeight="1">
      <x:c r="A44" s="41" t="str">
        <x:v>US53</x:v>
      </x:c>
      <x:c r="B44" s="34" t="str">
        <x:v>Como usuário, quero configurar e obter um resumo financeiro mensal em formato PDF, com opção de salvar ou compartilhar, para consultar minhas informações financeiras fora do aplicativo.</x:v>
      </x:c>
      <x:c r="C44" s="30" t="str">
        <x:v>Média</x:v>
      </x:c>
      <x:c r="D44" s="42" t="n">
        <x:v>3</x:v>
      </x:c>
    </x:row>
    <x:row r="45" ht="26.399999618530273" hidden="0" customHeight="1">
      <x:c r="A45" s="41" t="str">
        <x:v>US57</x:v>
      </x:c>
      <x:c r="B45" s="34" t="str">
        <x:v>Como usuário, quero responder a perguntas sobre meu estado emocional e hábitos de consumo em um check-in financeiro e receber feedback personalizado para refletir sobre meu comportamento.</x:v>
      </x:c>
      <x:c r="C45" s="30" t="str">
        <x:v>Média</x:v>
      </x:c>
      <x:c r="D45" s="42" t="n">
        <x:v>3</x:v>
      </x:c>
    </x:row>
    <x:row r="46" ht="26.399999618530273" hidden="0" customHeight="1">
      <x:c r="A46" s="41" t="str">
        <x:v>US11</x:v>
      </x:c>
      <x:c r="B46" s="34" t="str">
        <x:v>Como usuário, quero compartilhar o progresso das minhas metas com contatos selecionados para obter apoio e motivação.</x:v>
      </x:c>
      <x:c r="C46" s="30" t="str">
        <x:v>Baixa</x:v>
      </x:c>
      <x:c r="D46" s="42" t="n">
        <x:v>3</x:v>
      </x:c>
    </x:row>
    <x:row r="47" ht="26.399999618530273" hidden="0" customHeight="1">
      <x:c r="A47" s="41" t="str">
        <x:v>US22</x:v>
      </x:c>
      <x:c r="B47" s="34" t="str">
        <x:v>Como usuário, quero registrar gastos em moedas diferentes e convertê-los para a moeda-base do perfil para manter meus valores comparáveis.</x:v>
      </x:c>
      <x:c r="C47" s="30" t="str">
        <x:v>Baixa</x:v>
      </x:c>
      <x:c r="D47" s="42" t="n">
        <x:v>3</x:v>
      </x:c>
    </x:row>
    <x:row r="48" ht="26.399999618530273" hidden="0" customHeight="1">
      <x:c r="A48" s="41" t="str">
        <x:v>US23</x:v>
      </x:c>
      <x:c r="B48" s="34" t="str">
        <x:v>Como usuário, quero acessar pequenos artigos e dicas diárias sobre economia, investimentos e controle de gastos e marcar o que já li para acompanhar meu aprendizado financeiro.</x:v>
      </x:c>
      <x:c r="C48" s="30" t="str">
        <x:v>Baixa</x:v>
      </x:c>
      <x:c r="D48" s="42" t="n">
        <x:v>3</x:v>
      </x:c>
    </x:row>
    <x:row r="49" ht="26.399999618530273" hidden="0" customHeight="1">
      <x:c r="A49" s="41" t="str">
        <x:v>US28</x:v>
      </x:c>
      <x:c r="B49" s="34" t="str">
        <x:v>Como usuário, quero comparar o preço atual de um produto desejado com sua média histórica para avaliar se o momento de compra é favorável.</x:v>
      </x:c>
      <x:c r="C49" s="30" t="str">
        <x:v>Baixa</x:v>
      </x:c>
      <x:c r="D49" s="42" t="n">
        <x:v>3</x:v>
      </x:c>
    </x:row>
    <x:row r="50" ht="26.399999618530273" hidden="0" customHeight="1">
      <x:c r="A50" s="41" t="str">
        <x:v>US30</x:v>
      </x:c>
      <x:c r="B50" s="34" t="str">
        <x:v>Como usuário, quero usar modo escuro e personalizar cores do tema e dos gráficos para adaptar a interface às minhas preferências.</x:v>
      </x:c>
      <x:c r="C50" s="30" t="str">
        <x:v>Baixa</x:v>
      </x:c>
      <x:c r="D50" s="42" t="n">
        <x:v>3</x:v>
      </x:c>
    </x:row>
    <x:row r="51" ht="26.399999618530273" hidden="0" customHeight="1">
      <x:c r="A51" s="41" t="str">
        <x:v>US33</x:v>
      </x:c>
      <x:c r="B51" s="34" t="str">
        <x:v>Como usuário, quero marcar uma transação como compartilhada e distribuir seu valor entre os envolvidos para saber a responsabilidade de cada pessoa.</x:v>
      </x:c>
      <x:c r="C51" s="30" t="str">
        <x:v>Baixa</x:v>
      </x:c>
      <x:c r="D51" s="42" t="n">
        <x:v>3</x:v>
      </x:c>
    </x:row>
    <x:row r="52" ht="39.599998474121094" hidden="0" customHeight="1">
      <x:c r="A52" s="41" t="str">
        <x:v>US34</x:v>
      </x:c>
      <x:c r="B52" s="34" t="str">
        <x:v>Como usuário, quero visualizar um painel de gastos por localização e que o aplicativo utilize o GPS do telefone para categorizar gastos com base no estabelecimento da compra, para organizar e compreender melhor onde meu dinheiro é gasto.</x:v>
      </x:c>
      <x:c r="C52" s="30" t="str">
        <x:v>Baixa</x:v>
      </x:c>
      <x:c r="D52" s="42" t="n">
        <x:v>3</x:v>
      </x:c>
    </x:row>
    <x:row r="53" ht="26.399999618530273" hidden="0" customHeight="1">
      <x:c r="A53" s="41" t="str">
        <x:v>US36</x:v>
      </x:c>
      <x:c r="B53" s="34" t="str">
        <x:v>Como usuário, quero abrir diretamente a tela de nova transação por um atalho na tela inicial do Android para registrar gastos com menos passos.</x:v>
      </x:c>
      <x:c r="C53" s="30" t="str">
        <x:v>Baixa</x:v>
      </x:c>
      <x:c r="D53" s="42" t="n">
        <x:v>3</x:v>
      </x:c>
    </x:row>
    <x:row r="54" ht="26.399999618530273" hidden="0" customHeight="1">
      <x:c r="A54" s="41" t="str">
        <x:v>US39</x:v>
      </x:c>
      <x:c r="B54" s="34" t="str">
        <x:v>Como usuário, quero visualizar uma estimativa da pegada de carbono associada aos meus padrões de consumo para compreender seu impacto ambiental.</x:v>
      </x:c>
      <x:c r="C54" s="30" t="str">
        <x:v>Baixa</x:v>
      </x:c>
      <x:c r="D54" s="42" t="n">
        <x:v>3</x:v>
      </x:c>
    </x:row>
    <x:row r="55" ht="26.399999618530273" hidden="0" customHeight="1">
      <x:c r="A55" s="41" t="str">
        <x:v>US41</x:v>
      </x:c>
      <x:c r="B55" s="34" t="str">
        <x:v>Como usuário, quero ativar um modo que permita somente visualização por um período planejado para evitar alterações ou novos registros durante a pausa.</x:v>
      </x:c>
      <x:c r="C55" s="30" t="str">
        <x:v>Baixa</x:v>
      </x:c>
      <x:c r="D55" s="42" t="n">
        <x:v>3</x:v>
      </x:c>
    </x:row>
    <x:row r="56" ht="26.399999618530273" hidden="0" customHeight="1">
      <x:c r="A56" s="41" t="str">
        <x:v>US43</x:v>
      </x:c>
      <x:c r="B56" s="34" t="str">
        <x:v>Como usuário, quero ocultar valores monetários e exibir apenas progresso percentual para apresentar informações financeiras sem expor valores sensíveis.</x:v>
      </x:c>
      <x:c r="C56" s="30" t="str">
        <x:v>Baixa</x:v>
      </x:c>
      <x:c r="D56" s="42" t="n">
        <x:v>3</x:v>
      </x:c>
    </x:row>
    <x:row r="57" ht="26.399999618530273" hidden="0" customHeight="1">
      <x:c r="A57" s="41" t="str">
        <x:v>US47</x:v>
      </x:c>
      <x:c r="B57" s="34" t="str">
        <x:v>Como usuário, quero receber distintivos e um certificado quando eu alcançar conquistas ou concluir desafios para registrar e compartilhar meu progresso.</x:v>
      </x:c>
      <x:c r="C57" s="30" t="str">
        <x:v>Baixa</x:v>
      </x:c>
      <x:c r="D57" s="42" t="n">
        <x:v>3</x:v>
      </x:c>
    </x:row>
    <x:row r="58" ht="26.399999618530273" hidden="0" customHeight="1">
      <x:c r="A58" s="41" t="str">
        <x:v>US49</x:v>
      </x:c>
      <x:c r="B58" s="34" t="str">
        <x:v>Como usuário, quero tomar decisões em cenários financeiros simulados e observar suas consequências para aprender sobre escolhas de consumo.</x:v>
      </x:c>
      <x:c r="C58" s="30" t="str">
        <x:v>Baixa</x:v>
      </x:c>
      <x:c r="D58" s="42" t="n">
        <x:v>3</x:v>
      </x:c>
    </x:row>
    <x:row r="59" ht="26.399999618530273" hidden="0" customHeight="1">
      <x:c r="A59" s="41" t="str">
        <x:v>US55</x:v>
      </x:c>
      <x:c r="B59" s="34" t="str">
        <x:v>Como usuário, quero digitalizar um recibo com a câmera e utilizar OCR para extrair automaticamente dados como valor, data e estabelecimento, reduzindo o preenchimento manual da despesa.</x:v>
      </x:c>
      <x:c r="C59" s="30" t="str">
        <x:v>Baixa</x:v>
      </x:c>
      <x:c r="D59" s="42" t="n">
        <x:v>3</x:v>
      </x:c>
    </x:row>
    <x:row r="60" ht="26.399999618530273" hidden="0" customHeight="1">
      <x:c r="A60" s="43" t="str">
        <x:v>US56</x:v>
      </x:c>
      <x:c r="B60" s="44" t="str">
        <x:v>Como usuário, quero acessar um feed de artigos relevantes sobre economia e mercado obtidos por uma API de notícias financeiras para acompanhar informações do cenário financeiro.</x:v>
      </x:c>
      <x:c r="C60" s="45" t="str">
        <x:v>Baixa</x:v>
      </x:c>
      <x:c r="D60" s="46" t="n">
        <x:v>3</x:v>
      </x:c>
    </x:row>
  </x:sheetData>
  <x:mergeCells>
    <x:mergeCell ref="A1:D1"/>
  </x:mergeCells>
  <x:conditionalFormatting sqref="C3:C59">
    <x:cfRule type="expression" dxfId="5" priority="1">
      <x:formula>C3="Alta"</x:formula>
    </x:cfRule>
    <x:cfRule type="expression" dxfId="4" priority="2">
      <x:formula>C3="Média"</x:formula>
    </x:cfRule>
    <x:cfRule type="expression" dxfId="3" priority="3">
      <x:formula>C3="Baixa"</x:formula>
    </x:cfRule>
  </x:conditionalFormatting>
  <x:conditionalFormatting sqref="D3:D59">
    <x:cfRule type="expression" dxfId="2" priority="4">
      <x:formula>D3=1</x:formula>
    </x:cfRule>
    <x:cfRule type="expression" dxfId="1" priority="5">
      <x:formula>D3=2</x:formula>
    </x:cfRule>
    <x:cfRule type="expression" dxfId="0" priority="6">
      <x:formula>D3=3</x:formula>
    </x:cfRule>
  </x:conditionalFormatting>
  <x:conditionalFormatting sqref="C3:C60">
    <x:cfRule type="expression" dxfId="6" priority="7">
      <x:formula>$C3="Alta"</x:formula>
    </x:cfRule>
    <x:cfRule type="expression" dxfId="7" priority="8">
      <x:formula>$C3="Média"</x:formula>
    </x:cfRule>
    <x:cfRule type="expression" dxfId="8" priority="9">
      <x:formula>$C3="Baixa"</x:formula>
    </x:cfRule>
  </x:conditionalFormatting>
  <x:conditionalFormatting sqref="D3:D60">
    <x:cfRule type="expression" dxfId="9" priority="10">
      <x:formula>$D3=1</x:formula>
    </x:cfRule>
    <x:cfRule type="expression" dxfId="10" priority="11">
      <x:formula>$D3=2</x:formula>
    </x:cfRule>
    <x:cfRule type="expression" dxfId="11" priority="12">
      <x:formula>$D3=3</x:formula>
    </x:cfRule>
  </x:conditionalFormatting>
  <x:dataValidations count="4">
    <x:dataValidation type="list" sqref="C3:C59">
      <x:formula1>"Alta,Média,Baixa"</x:formula1>
    </x:dataValidation>
    <x:dataValidation type="list" sqref="D3:D59">
      <x:formula1>"1,2,3"</x:formula1>
    </x:dataValidation>
    <x:dataValidation type="list" sqref="C3:C60">
      <x:formula1>"Alta,Média,Baixa"</x:formula1>
    </x:dataValidation>
    <x:dataValidation type="list" sqref="D3:D60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6332d3b1f4bc8"/>
  </x:tableParts>
</x:worksheet>
</file>