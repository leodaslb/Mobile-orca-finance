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d62ab9c01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385d945459c43ad"/>
    <x:sheet xmlns:r="http://schemas.openxmlformats.org/officeDocument/2006/relationships" name="Épicos" sheetId="2" r:id="R816e1506046b4a81"/>
    <x:sheet xmlns:r="http://schemas.openxmlformats.org/officeDocument/2006/relationships" name="Sprints" sheetId="7" r:id="R7ef94fb38d114c6f"/>
    <x:sheet xmlns:r="http://schemas.openxmlformats.org/officeDocument/2006/relationships" name="Backlog Revisado" sheetId="3" r:id="R806b8bd6ba1e42a5"/>
    <x:sheet xmlns:r="http://schemas.openxmlformats.org/officeDocument/2006/relationships" name="US → RF" sheetId="4" r:id="R4be7972c726d42e4"/>
    <x:sheet xmlns:r="http://schemas.openxmlformats.org/officeDocument/2006/relationships" name="RF → US" sheetId="5" r:id="Re549359d46214a46"/>
    <x:sheet xmlns:r="http://schemas.openxmlformats.org/officeDocument/2006/relationships" name="Dependências" sheetId="6" r:id="R507be83500004651"/>
    <x:sheet xmlns:r="http://schemas.openxmlformats.org/officeDocument/2006/relationships" name="RN sincronizadas" sheetId="8" r:id="R6e7b0327a0224a9c"/>
  </x:sheets>
</x:workbook>
</file>

<file path=xl/sharedStrings.xml><?xml version="1.0" encoding="utf-8"?>
<x:sst xmlns:x="http://schemas.openxmlformats.org/spreadsheetml/2006/main">
  <x:si>
    <x:t xml:space="preserve">Orça Finance — Backlog Revisado Final | Épico → US → RF</x:t>
  </x:si>
  <x:si>
    <x:t xml:space="preserve">Indicador</x:t>
  </x:si>
  <x:si>
    <x:t xml:space="preserve">Valor</x:t>
  </x:si>
  <x:si>
    <x:t xml:space="preserve">Épico</x:t>
  </x:si>
  <x:si>
    <x:t xml:space="preserve">Qtd. US</x:t>
  </x:si>
  <x:si>
    <x:t xml:space="preserve">Quantidade final de Épicos</x:t>
  </x:si>
  <x:si>
    <x:t xml:space="preserve">Transações e Organização Financeira</x:t>
  </x:si>
  <x:si>
    <x:t xml:space="preserve">Quantidade final de User Stories</x:t>
  </x:si>
  <x:si>
    <x:t xml:space="preserve">Orçamentos e Regras de Gastos</x:t>
  </x:si>
  <x:si>
    <x:t xml:space="preserve">Total de RFs</x:t>
  </x:si>
  <x:si>
    <x:t xml:space="preserve">Metas, Desafios e Consumo Consciente</x:t>
  </x:si>
  <x:si>
    <x:t xml:space="preserve">RFs cobertos</x:t>
  </x:si>
  <x:si>
    <x:t xml:space="preserve">Análises, Relatórios e Indicadores</x:t>
  </x:si>
  <x:si>
    <x:t xml:space="preserve">RFs sem cobertura</x:t>
  </x:si>
  <x:si>
    <x:t xml:space="preserve">Planejamento e Simulação Financeira</x:t>
  </x:si>
  <x:si>
    <x:t xml:space="preserve">RFs com cobertura múltipla</x:t>
  </x:si>
  <x:si>
    <x:t xml:space="preserve">Automação, Recorrência e Entrada Assistida</x:t>
  </x:si>
  <x:si>
    <x:t xml:space="preserve">Perfis, Sincronização, Segurança e Experiência</x:t>
  </x:si>
  <x:si>
    <x:t xml:space="preserve">Educação e Conteúdo Financeiro</x:t>
  </x:si>
  <x:si>
    <x:t xml:space="preserve">Validação automática</x:t>
  </x:si>
  <x:si>
    <x:t xml:space="preserve">Resultado</x:t>
  </x:si>
  <x:si>
    <x:t xml:space="preserve">Detalhe</x:t>
  </x:si>
  <x:si>
    <x:t xml:space="preserve">71 RFs originais</x:t>
  </x:si>
  <x:si>
    <x:t xml:space="preserve">OK</x:t>
  </x:si>
  <x:si>
    <x:t xml:space="preserve">RF01-RF71 cobertos</x:t>
  </x:si>
  <x:si>
    <x:t xml:space="preserve">Cada US em um Épico válido</x:t>
  </x:si>
  <x:si>
    <x:t xml:space="preserve">Dependências apontam para US existentes</x:t>
  </x:si>
  <x:si>
    <x:t xml:space="preserve">IDs de US sem duplicidade</x:t>
  </x:si>
  <x:si>
    <x:t xml:space="preserve">Nenhum RF inexistente associado</x:t>
  </x:si>
  <x:si>
    <x:t xml:space="preserve">Mudanças relevantes justificadas</x:t>
  </x:si>
  <x:si>
    <x:t xml:space="preserve">RF principal único</x:t>
  </x:si>
  <x:si>
    <x:t xml:space="preserve">Única cobertura múltipla justificada</x:t>
  </x:si>
  <x:si>
    <x:t xml:space="preserve">Decisões estruturais desta revisão</x:t>
  </x:si>
  <x:si>
    <x:t xml:space="preserve">Motivo resumido</x:t>
  </x:si>
  <x:si>
    <x:t xml:space="preserve">US10</x:t>
  </x:si>
  <x:si>
    <x:t xml:space="preserve">Dividida em US10 + US58</x:t>
  </x:si>
  <x:si>
    <x:t xml:space="preserve">Meta operacional e indicador histórico têm critérios/cálculos distintos.</x:t>
  </x:si>
  <x:si>
    <x:t xml:space="preserve">US17</x:t>
  </x:si>
  <x:si>
    <x:t xml:space="preserve">Dividida em US17 + US59</x:t>
  </x:si>
  <x:si>
    <x:t xml:space="preserve">Desafio de economia e desafio de despesas essenciais possuem regras distintas.</x:t>
  </x:si>
  <x:si>
    <x:t xml:space="preserve">US14</x:t>
  </x:si>
  <x:si>
    <x:t xml:space="preserve">Dividida em US14 + US53</x:t>
  </x:si>
  <x:si>
    <x:t xml:space="preserve">Exportação de dados e relatório mensal PDF são fluxos diferentes.</x:t>
  </x:si>
  <x:si>
    <x:t xml:space="preserve">US16</x:t>
  </x:si>
  <x:si>
    <x:t xml:space="preserve">Dividida em US16 + US54</x:t>
  </x:si>
  <x:si>
    <x:t xml:space="preserve">Lembretes inteligentes e resumo semanal são notificações com objetivos distintos.</x:t>
  </x:si>
  <x:si>
    <x:t xml:space="preserve">US19</x:t>
  </x:si>
  <x:si>
    <x:t xml:space="preserve">Dividida em US19 + US55</x:t>
  </x:si>
  <x:si>
    <x:t xml:space="preserve">Anexo de recibo e OCR possuem complexidade/testes distintos.</x:t>
  </x:si>
  <x:si>
    <x:t xml:space="preserve">US23</x:t>
  </x:si>
  <x:si>
    <x:t xml:space="preserve">Dividida em US23 + US56</x:t>
  </x:si>
  <x:si>
    <x:t xml:space="preserve">Conteúdo educacional e feed por API externa são mecanismos distintos.</x:t>
  </x:si>
  <x:si>
    <x:t xml:space="preserve">US34</x:t>
  </x:si>
  <x:si>
    <x:t xml:space="preserve">Corrigida e movida para EP01</x:t>
  </x:si>
  <x:si>
    <x:t xml:space="preserve">RF41 exige painel e categorização por estabelecimento via GPS.</x:t>
  </x:si>
  <x:si>
    <x:t xml:space="preserve">US38</x:t>
  </x:si>
  <x:si>
    <x:t xml:space="preserve">Dividida em US38 + US57</x:t>
  </x:si>
  <x:si>
    <x:t xml:space="preserve">Diário livre e check-in com feedback personalizado são fluxos distintos.</x:t>
  </x:si>
  <x:si>
    <x:t xml:space="preserve">Épicos do produto</x:t>
  </x:si>
  <x:si>
    <x:t xml:space="preserve">Agrupamentos de valor usados para organizar as User Stories. Não alteram o escopo dos Requisitos Funcionais originais.</x:t>
  </x:si>
  <x:si>
    <x:t xml:space="preserve">Nome</x:t>
  </x:si>
  <x:si>
    <x:t xml:space="preserve">Objetivo</x:t>
  </x:si>
  <x:si>
    <x:t xml:space="preserve">User Stories</x:t>
  </x:si>
  <x:si>
    <x:t xml:space="preserve">EP01</x:t>
  </x:si>
  <x:si>
    <x:t xml:space="preserve">Registrar, organizar, consultar e manter a rastreabilidade das movimentações financeiras e seus dados associados.</x:t>
  </x:si>
  <x:si>
    <x:t xml:space="preserve">EP02</x:t>
  </x:si>
  <x:si>
    <x:t xml:space="preserve">Planejar limites de gastos em diferentes contextos e acompanhar o realizado contra o planejado.</x:t>
  </x:si>
  <x:si>
    <x:t xml:space="preserve">EP03</x:t>
  </x:si>
  <x:si>
    <x:t xml:space="preserve">Apoiar metas de economia, desafios e mecanismos de reflexão sobre hábitos e decisões de consumo.</x:t>
  </x:si>
  <x:si>
    <x:t xml:space="preserve">EP04</x:t>
  </x:si>
  <x:si>
    <x:t xml:space="preserve">Transformar dados financeiros em relatórios, previsões, indicadores e visões de acompanhamento.</x:t>
  </x:si>
  <x:si>
    <x:t xml:space="preserve">EP05</x:t>
  </x:si>
  <x:si>
    <x:t xml:space="preserve">Simular cenários e apoiar decisões futuras de compra, investimento e planejamento financeiro.</x:t>
  </x:si>
  <x:si>
    <x:t xml:space="preserve">EP06</x:t>
  </x:si>
  <x:si>
    <x:t xml:space="preserve">Reduzir trabalho manual por meio de automações, recorrências, importação, notificações e captura assistida de dados.</x:t>
  </x:si>
  <x:si>
    <x:t xml:space="preserve">EP07</x:t>
  </x:si>
  <x:si>
    <x:t xml:space="preserve">Gerenciar contexto de perfil, proteção, sincronização e preferências de uso do aplicativo.</x:t>
  </x:si>
  <x:si>
    <x:t xml:space="preserve">EP08</x:t>
  </x:si>
  <x:si>
    <x:t xml:space="preserve">Oferecer conteúdo e experiências educativas para ampliar a compreensão financeira do usuário.</x:t>
  </x:si>
  <x:si>
    <x:t xml:space="preserve">Orça Finance — User Stories por Prioridade e Sprint Candidata</x:t>
  </x:si>
  <x:si>
    <x:t xml:space="preserve">US</x:t>
  </x:si>
  <x:si>
    <x:t xml:space="preserve">Texto da User Story</x:t>
  </x:si>
  <x:si>
    <x:t xml:space="preserve">Prioridade</x:t>
  </x:si>
  <x:si>
    <x:t xml:space="preserve">Sprint</x:t>
  </x:si>
  <x:si>
    <x:t xml:space="preserve">US01</x:t>
  </x:si>
  <x:si>
    <x:t xml:space="preserve">Como usuário, quero registrar manualmente receitas e despesas com valor, data, hora, descrição e categoria para manter meu histórico financeiro atualizado.</x:t>
  </x:si>
  <x:si>
    <x:t xml:space="preserve">Alta</x:t>
  </x:si>
  <x:si>
    <x:t xml:space="preserve">US02</x:t>
  </x:si>
  <x:si>
    <x:t xml:space="preserve">Como usuário, quero complementar minhas transações com tags, anotações, método de pagamento e classificações aplicáveis para organizá-las e analisá-las com mais contexto.</x:t>
  </x:si>
  <x:si>
    <x:t xml:space="preserve">US03</x:t>
  </x:si>
  <x:si>
    <x:t xml:space="preserve">Como usuário, quero buscar e filtrar transações por data, categoria, descrição, valor e método de pagamento para localizar registros específicos com rapidez.</x:t>
  </x:si>
  <x:si>
    <x:t xml:space="preserve">US04</x:t>
  </x:si>
  <x:si>
    <x:t xml:space="preserve">Como usuário, quero consultar o histórico de alterações e exclusões de uma transação para compreender o que foi modificado ao longo do tempo.</x:t>
  </x:si>
  <x:si>
    <x:t xml:space="preserve">Média</x:t>
  </x:si>
  <x:si>
    <x:t xml:space="preserve">US05</x:t>
  </x:si>
  <x:si>
    <x:t xml:space="preserve">Como usuário, quero criar subcategorias personalizadas dentro das categorias principais para organizar meus gastos com mais precisão.</x:t>
  </x:si>
  <x:si>
    <x:t xml:space="preserve">US06</x:t>
  </x:si>
  <x:si>
    <x:t xml:space="preserve">Como usuário, quero definir limites mensais por categoria, inclusive para gastos com serviços digitais, e visualizar alertas ao me aproximar ou exceder esses limites para controlar meu orçamento.</x:t>
  </x:si>
  <x:si>
    <x:t xml:space="preserve">US07</x:t>
  </x:si>
  <x:si>
    <x:t xml:space="preserve">Como usuário, quero criar orçamentos com períodos flexíveis e temporários, inclusive vinculados a eventos, para planejar gastos fora do ciclo mensal padrão.</x:t>
  </x:si>
  <x:si>
    <x:t xml:space="preserve">US09</x:t>
  </x:si>
  <x:si>
    <x:t xml:space="preserve">Como usuário, quero distribuir a renda do período entre categorias em um orçamento zero para dar destino a todo o valor planejado.</x:t>
  </x:si>
  <x:si>
    <x:t xml:space="preserve">Como usuário, quero criar e acompanhar metas de economia com valor-alvo, data-limite e sugestão de economia diária ou semanal para planejar meus objetivos financeiros.</x:t>
  </x:si>
  <x:si>
    <x:t xml:space="preserve">US11</x:t>
  </x:si>
  <x:si>
    <x:t xml:space="preserve">Como usuário, quero compartilhar o progresso das minhas metas com contatos selecionados para obter apoio e motivação.</x:t>
  </x:si>
  <x:si>
    <x:t xml:space="preserve">Baixa</x:t>
  </x:si>
  <x:si>
    <x:t xml:space="preserve">US12</x:t>
  </x:si>
  <x:si>
    <x:t xml:space="preserve">Como usuário, quero usar mecanismos de reflexão antes de comprar, incluindo período de espera e pergunta ao registrar uma compra não essencial, para reduzir decisões impulsivas.</x:t>
  </x:si>
  <x:si>
    <x:t xml:space="preserve">US13</x:t>
  </x:si>
  <x:si>
    <x:t xml:space="preserve">Como usuário, quero visualizar gráficos de gastos por categoria e período para compreender a distribuição das minhas despesas.</x:t>
  </x:si>
  <x:si>
    <x:t xml:space="preserve">Como usuário, quero exportar meus dados financeiros em CSV e em formato compatível com Excel para analisá-los externamente ou manter uma cópia das informações.</x:t>
  </x:si>
  <x:si>
    <x:t xml:space="preserve">US15</x:t>
  </x:si>
  <x:si>
    <x:t xml:space="preserve">Como usuário, quero visualizar saldo, gastos do mês, progresso das metas e comparação com o mês anterior em um painel para entender rapidamente minha situação financeira.</x:t>
  </x:si>
  <x:si>
    <x:t xml:space="preserve">Como usuário, quero receber lembretes push para registrar transações possivelmente esquecidas, com base no meu histórico de gastos ou em horários predefinidos, para reduzir omissões no controle financeiro.</x:t>
  </x:si>
  <x:si>
    <x:t xml:space="preserve">Como usuário, quero participar de um desafio de economia com período e valor-alvo definidos, acompanhando meu progresso e recebendo mensagens de incentivo para desenvolver o hábito de economizar.</x:t>
  </x:si>
  <x:si>
    <x:t xml:space="preserve">US18</x:t>
  </x:si>
  <x:si>
    <x:t xml:space="preserve">Como usuário, quero manter e alternar entre perfis financeiros separados para administrar diferentes contextos de finanças.</x:t>
  </x:si>
  <x:si>
    <x:t xml:space="preserve">Como usuário, quero anexar uma foto do recibo ao registrar uma despesa usando a câmera do dispositivo para manter um comprovante associado à transação.</x:t>
  </x:si>
  <x:si>
    <x:t xml:space="preserve">US20</x:t>
  </x:si>
  <x:si>
    <x:t xml:space="preserve">Como usuário, quero criar regras explícitas de automação para classificar atributos das transações e reduzir tarefas repetitivas.</x:t>
  </x:si>
  <x:si>
    <x:t xml:space="preserve">US21</x:t>
  </x:si>
  <x:si>
    <x:t xml:space="preserve">Como usuário, quero sincronizar meus dados financeiros entre dispositivos para acessar informações consistentes em diferentes aparelhos.</x:t>
  </x:si>
  <x:si>
    <x:t xml:space="preserve">US22</x:t>
  </x:si>
  <x:si>
    <x:t xml:space="preserve">Como usuário, quero registrar gastos em moedas diferentes e convertê-los para a moeda-base do perfil para manter meus valores comparáveis.</x:t>
  </x:si>
  <x:si>
    <x:t xml:space="preserve">Como usuário, quero acessar pequenos artigos e dicas diárias sobre economia, investimentos e controle de gastos e marcar o que já li para acompanhar meu aprendizado financeiro.</x:t>
  </x:si>
  <x:si>
    <x:t xml:space="preserve">US24</x:t>
  </x:si>
  <x:si>
    <x:t xml:space="preserve">Como usuário, quero configurar receitas e despesas recorrentes e lembretes de vencimento associados a transações futuras para automatizar lançamentos e evitar atrasos.</x:t>
  </x:si>
  <x:si>
    <x:t xml:space="preserve">US25</x:t>
  </x:si>
  <x:si>
    <x:t xml:space="preserve">Como usuário, quero visualizar taxa de poupança e saldo médio diário para acompanhar meu desempenho financeiro.</x:t>
  </x:si>
  <x:si>
    <x:t xml:space="preserve">US27</x:t>
  </x:si>
  <x:si>
    <x:t xml:space="preserve">Como usuário, quero simular o impacto de uma compra, inclusive parcelada, no orçamento atual e futuro para avaliar seu comprometimento antes de decidir.</x:t>
  </x:si>
  <x:si>
    <x:t xml:space="preserve">US28</x:t>
  </x:si>
  <x:si>
    <x:t xml:space="preserve">Como usuário, quero comparar o preço atual de um produto desejado com sua média histórica para avaliar se o momento de compra é favorável.</x:t>
  </x:si>
  <x:si>
    <x:t xml:space="preserve">US29</x:t>
  </x:si>
  <x:si>
    <x:t xml:space="preserve">Como usuário, quero definir limite diário e limites por categoria, escolhendo os canais de alerta aplicáveis, para ser avisado quando meus gastos atingirem os valores definidos.</x:t>
  </x:si>
  <x:si>
    <x:t xml:space="preserve">US30</x:t>
  </x:si>
  <x:si>
    <x:t xml:space="preserve">Como usuário, quero usar modo escuro e personalizar cores do tema e dos gráficos para adaptar a interface às minhas preferências.</x:t>
  </x:si>
  <x:si>
    <x:t xml:space="preserve">US31</x:t>
  </x:si>
  <x:si>
    <x:t xml:space="preserve">Como usuário, quero calcular juros compostos e o valor futuro hipotético de um gasto não realizado para comparar cenários de investimento e consumo.</x:t>
  </x:si>
  <x:si>
    <x:t xml:space="preserve">US32</x:t>
  </x:si>
  <x:si>
    <x:t xml:space="preserve">Como usuário, quero visualizar a projeção de entradas, saídas e saldo futuro para antecipar meu fluxo de caixa de curto prazo.</x:t>
  </x:si>
  <x:si>
    <x:t xml:space="preserve">US33</x:t>
  </x:si>
  <x:si>
    <x:t xml:space="preserve">Como usuário, quero marcar uma transação como compartilhada e distribuir seu valor entre os envolvidos para saber a responsabilidade de cada pessoa.</x:t>
  </x:si>
  <x:si>
    <x:t xml:space="preserve">Como usuário, quero visualizar um painel de gastos por localização e que o aplicativo utilize o GPS do telefone para categorizar gastos com base no estabelecimento da compra, para organizar e compreender melhor onde meu dinheiro é gasto.</x:t>
  </x:si>
  <x:si>
    <x:t xml:space="preserve">US35</x:t>
  </x:si>
  <x:si>
    <x:t xml:space="preserve">Como usuário, quero visualizar se meus gastos por categoria estão aumentando, diminuindo ou permanecendo estáveis ao longo do tempo para identificar mudanças de comportamento.</x:t>
  </x:si>
  <x:si>
    <x:t xml:space="preserve">US36</x:t>
  </x:si>
  <x:si>
    <x:t xml:space="preserve">Como usuário, quero abrir diretamente a tela de nova transação por um atalho na tela inicial do Android para registrar gastos com menos passos.</x:t>
  </x:si>
  <x:si>
    <x:t xml:space="preserve">US37</x:t>
  </x:si>
  <x:si>
    <x:t xml:space="preserve">Como usuário, quero proteger o acesso local ao aplicativo por biometria ou PIN para manter meus dados financeiros seguros.</x:t>
  </x:si>
  <x:si>
    <x:t xml:space="preserve">Como usuário, quero registrar livremente minhas motivações para comprar algo em um diário de consumo para refletir sobre meus hábitos e decisões de compra.</x:t>
  </x:si>
  <x:si>
    <x:t xml:space="preserve">US39</x:t>
  </x:si>
  <x:si>
    <x:t xml:space="preserve">Como usuário, quero visualizar uma estimativa da pegada de carbono associada aos meus padrões de consumo para compreender seu impacto ambiental.</x:t>
  </x:si>
  <x:si>
    <x:t xml:space="preserve">US40</x:t>
  </x:si>
  <x:si>
    <x:t xml:space="preserve">Como usuário, quero comparar o orçamento planejado com os gastos realizados para identificar desvios e as categorias que mais contribuíram para eles.</x:t>
  </x:si>
  <x:si>
    <x:t xml:space="preserve">US41</x:t>
  </x:si>
  <x:si>
    <x:t xml:space="preserve">Como usuário, quero ativar um modo que permita somente visualização por um período planejado para evitar alterações ou novos registros durante a pausa.</x:t>
  </x:si>
  <x:si>
    <x:t xml:space="preserve">US42</x:t>
  </x:si>
  <x:si>
    <x:t xml:space="preserve">Como usuário, quero importar transações de CSV ou extrato em formato predefinido para evitar o registro manual de informações já existentes.</x:t>
  </x:si>
  <x:si>
    <x:t xml:space="preserve">US43</x:t>
  </x:si>
  <x:si>
    <x:t xml:space="preserve">Como usuário, quero ocultar valores monetários e exibir apenas progresso percentual para apresentar informações financeiras sem expor valores sensíveis.</x:t>
  </x:si>
  <x:si>
    <x:t xml:space="preserve">US44</x:t>
  </x:si>
  <x:si>
    <x:t xml:space="preserve">Como usuário, quero reverter uma transação registrada por engano sem manter seu efeito nos cálculos, preservando a rastreabilidade da exclusão para corrigir meu histórico com segurança.</x:t>
  </x:si>
  <x:si>
    <x:t xml:space="preserve">US45</x:t>
  </x:si>
  <x:si>
    <x:t xml:space="preserve">Como usuário, quero definir uma cota mensal de gastos livres sem categorização para manter flexibilidade dentro do meu planejamento.</x:t>
  </x:si>
  <x:si>
    <x:t xml:space="preserve">US46</x:t>
  </x:si>
  <x:si>
    <x:t xml:space="preserve">Como usuário, quero configurar aplicativos gatilho para receber uma pergunta reflexiva quando eu os abrir e reduzir compras por impulso.</x:t>
  </x:si>
  <x:si>
    <x:t xml:space="preserve">US47</x:t>
  </x:si>
  <x:si>
    <x:t xml:space="preserve">Como usuário, quero receber distintivos e um certificado quando eu alcançar conquistas ou concluir desafios para registrar e compartilhar meu progresso.</x:t>
  </x:si>
  <x:si>
    <x:t xml:space="preserve">US48</x:t>
  </x:si>
  <x:si>
    <x:t xml:space="preserve">Como usuário, quero receber sugestões de categoria com base no meu histórico de descrições semelhantes para categorizar novas despesas com menos esforço.</x:t>
  </x:si>
  <x:si>
    <x:t xml:space="preserve">US49</x:t>
  </x:si>
  <x:si>
    <x:t xml:space="preserve">Como usuário, quero tomar decisões em cenários financeiros simulados e observar suas consequências para aprender sobre escolhas de consumo.</x:t>
  </x:si>
  <x:si>
    <x:t xml:space="preserve">US50</x:t>
  </x:si>
  <x:si>
    <x:t xml:space="preserve">Como usuário, quero visualizar uma pontuação de saúde financeira baseada nas métricas definidas pelo produto para entender minha situação geral.</x:t>
  </x:si>
  <x:si>
    <x:t xml:space="preserve">US51</x:t>
  </x:si>
  <x:si>
    <x:t xml:space="preserve">Como usuário, quero criar um plano de economia para uma compra de alto valor com parcelas mensais compatíveis com meu orçamento para saber como alcançar esse objetivo.</x:t>
  </x:si>
  <x:si>
    <x:t xml:space="preserve">US52</x:t>
  </x:si>
  <x:si>
    <x:t xml:space="preserve">Como usuário, quero criar regras de gastos baseadas em limites proporcionais e ser alertado quando elas forem violadas para controlar meu comportamento financeiro.</x:t>
  </x:si>
  <x:si>
    <x:t xml:space="preserve">US53</x:t>
  </x:si>
  <x:si>
    <x:t xml:space="preserve">Como usuário, quero configurar e obter um resumo financeiro mensal em formato PDF, com opção de salvar ou compartilhar, para consultar minhas informações financeiras fora do aplicativo.</x:t>
  </x:si>
  <x:si>
    <x:t xml:space="preserve">US54</x:t>
  </x:si>
  <x:si>
    <x:t xml:space="preserve">Como usuário, quero receber por notificação push um resumo semanal que destaque meus maiores gastos e o progresso em relação ao orçamento para acompanhar minha situação financeira regularmente.</x:t>
  </x:si>
  <x:si>
    <x:t xml:space="preserve">US55</x:t>
  </x:si>
  <x:si>
    <x:t xml:space="preserve">Como usuário, quero digitalizar um recibo com a câmera e utilizar OCR para extrair automaticamente dados como valor, data e estabelecimento, reduzindo o preenchimento manual da despesa.</x:t>
  </x:si>
  <x:si>
    <x:t xml:space="preserve">US56</x:t>
  </x:si>
  <x:si>
    <x:t xml:space="preserve">Como usuário, quero acessar um feed de artigos relevantes sobre economia e mercado obtidos por uma API de notícias financeiras para acompanhar informações do cenário financeiro.</x:t>
  </x:si>
  <x:si>
    <x:t xml:space="preserve">US57</x:t>
  </x:si>
  <x:si>
    <x:t xml:space="preserve">Como usuário, quero responder a perguntas sobre meu estado emocional e hábitos de consumo em um check-in financeiro e receber feedback personalizado para refletir sobre meu comportamento.</x:t>
  </x:si>
  <x:si>
    <x:t xml:space="preserve">US58</x:t>
  </x:si>
  <x:si>
    <x:t xml:space="preserve">Como usuário, quero visualizar a porcentagem de metas de economia cumpridas em um período histórico definido para avaliar minha consistência no alcance de objetivos.</x:t>
  </x:si>
  <x:si>
    <x:t xml:space="preserve">US59</x:t>
  </x:si>
  <x:si>
    <x:t xml:space="preserve">Como usuário, quero participar de um desafio para reduzir gastos em uma categoria específica de despesas essenciais e receber sugestões de alternativas mais econômicas para melhorar meus hábitos de consumo.</x:t>
  </x:si>
  <x:si>
    <x:t xml:space="preserve">US60</x:t>
  </x:si>
  <x:si>
    <x:t xml:space="preserve">Backlog revisado final de User Stories</x:t>
  </x:si>
  <x:si>
    <x:t xml:space="preserve">Funcionalidade</x:t>
  </x:si>
  <x:si>
    <x:t xml:space="preserve">RFs vinculados</x:t>
  </x:si>
  <x:si>
    <x:t xml:space="preserve">Dependências (US)</x:t>
  </x:si>
  <x:si>
    <x:t xml:space="preserve">RN / decisões relacionadas</x:t>
  </x:si>
  <x:si>
    <x:t xml:space="preserve">Situação de decisão</x:t>
  </x:si>
  <x:si>
    <x:t xml:space="preserve">Pendências / ações RN</x:t>
  </x:si>
  <x:si>
    <x:t xml:space="preserve">Backlog revisado anterior relacionado</x:t>
  </x:si>
  <x:si>
    <x:t xml:space="preserve">Mapeamento User Story → Requisito Funcional</x:t>
  </x:si>
  <x:si>
    <x:t xml:space="preserve">RF</x:t>
  </x:si>
  <x:si>
    <x:t xml:space="preserve">Tipo de cobertura</x:t>
  </x:si>
  <x:si>
    <x:t xml:space="preserve">Requisito funcional original</x:t>
  </x:si>
  <x:si>
    <x:t xml:space="preserve">Observação</x:t>
  </x:si>
  <x:si>
    <x:t xml:space="preserve">Mapeamento Requisito Funcional → User Story</x:t>
  </x:si>
  <x:si>
    <x:t xml:space="preserve">Cobertura dos RF01–RF71. A coluna complementar só é usada quando existe responsabilidade funcional real em mais de uma User Story.</x:t>
  </x:si>
  <x:si>
    <x:t xml:space="preserve">Prioridade RF</x:t>
  </x:si>
  <x:si>
    <x:t xml:space="preserve">US principal</x:t>
  </x:si>
  <x:si>
    <x:t xml:space="preserve">Título US principal</x:t>
  </x:si>
  <x:si>
    <x:t xml:space="preserve">Épico principal</x:t>
  </x:si>
  <x:si>
    <x:t xml:space="preserve">US complementar</x:t>
  </x:si>
  <x:si>
    <x:t xml:space="preserve">Título US complementar</x:t>
  </x:si>
  <x:si>
    <x:t xml:space="preserve">Épico complementar</x:t>
  </x:si>
  <x:si>
    <x:t xml:space="preserve">Observação de rastreabilidade</x:t>
  </x:si>
  <x:si>
    <x:t xml:space="preserve">Status cobertura</x:t>
  </x:si>
  <x:si>
    <x:t xml:space="preserve">RF01</x:t>
  </x:si>
  <x:si>
    <x:t xml:space="preserve">O aplicativo deve permitir que o usuário registre manualmente cada transação financeira, categorizando-a entre receitas e despesas, com campos para valor, data, hora e uma descrição detalhada.</x:t>
  </x:si>
  <x:si>
    <x:t xml:space="preserve">Registro manual de transações</x:t>
  </x:si>
  <x:si>
    <x:t xml:space="preserve">Coberto</x:t>
  </x:si>
  <x:si>
    <x:t xml:space="preserve">RF02</x:t>
  </x:si>
  <x:si>
    <x:t xml:space="preserve">Para um controle mais granular, o sistema deve possibilitar a criação de subcategorias personalizadas dentro das categorias principais, como "Alimentação" com subcategorias "Restaurante", "Supermercado" e "Lanches".</x:t>
  </x:si>
  <x:si>
    <x:t xml:space="preserve">Categorias e subcategorias</x:t>
  </x:si>
  <x:si>
    <x:t xml:space="preserve">RF03</x:t>
  </x:si>
  <x:si>
    <x:t xml:space="preserve">Uma funcionalidade essencial é a capacidade de definir um orçamento mensal para cada categoria de gasto, com o aplicativo fornecendo alertas visuais quando o usuário se aproximar ou exceder o limite estabelecido.</x:t>
  </x:si>
  <x:si>
    <x:t xml:space="preserve">Orçamento mensal por categoria</x:t>
  </x:si>
  <x:si>
    <x:t xml:space="preserve">RF04</x:t>
  </x:si>
  <x:si>
    <x:t xml:space="preserve">O Orca Finance deve implementar um sistema de "metas de economia", onde o usuário pode definir um objetivo financeiro com um valor alvo e uma data limite, e o aplicativo calcula e sugere um valor de economia diário ou semanal.</x:t>
  </x:si>
  <x:si>
    <x:t xml:space="preserve">Media</x:t>
  </x:si>
  <x:si>
    <x:t xml:space="preserve">Metas de economia</x:t>
  </x:si>
  <x:si>
    <x:t xml:space="preserve">RF05</x:t>
  </x:si>
  <x:si>
    <x:t xml:space="preserve">Para desencorajar compras por impulso, o aplicativo deve incluir um recurso de "período de reflexão", onde o usuário pode adicionar um item desejado a uma lista de espera, e o sistema só libera a opção de compra após um intervalo de tempo pré-definido, como 24 horas.</x:t>
  </x:si>
  <x:si>
    <x:t xml:space="preserve">Reflexão antes da compra</x:t>
  </x:si>
  <x:si>
    <x:t xml:space="preserve">RF06</x:t>
  </x:si>
  <x:si>
    <x:t xml:space="preserve">O sistema deve gerar relatórios detalhados de gastos em formato gráfico, como gráficos de pizza e de barras, que demonstram a distribuição dos gastos por categoria ao longo de um período selecionado.</x:t>
  </x:si>
  <x:si>
    <x:t xml:space="preserve">Relatórios gráficos de gastos</x:t>
  </x:si>
  <x:si>
    <x:t xml:space="preserve">RF07</x:t>
  </x:si>
  <x:si>
    <x:t xml:space="preserve">O usuário deve poder exportar seus dados financeiros para um arquivo CSV, permitindo uma análise externa ou o backup das informações.</x:t>
  </x:si>
  <x:si>
    <x:t xml:space="preserve">Exportação de dados financeiros</x:t>
  </x:si>
  <x:si>
    <x:t xml:space="preserve">RF08</x:t>
  </x:si>
  <x:si>
    <x:t xml:space="preserve">Para uma visão holística, o aplicativo deve exibir um painel de controle principal que resume o saldo atual, os gastos do mês, o progresso das metas de economia e um comparativo com o mês anterior.</x:t>
  </x:si>
  <x:si>
    <x:t xml:space="preserve">Dashboard financeiro</x:t>
  </x:si>
  <x:si>
    <x:t xml:space="preserve">RF09</x:t>
  </x:si>
  <x:si>
    <x:t xml:space="preserve">O sistema de notificações push deve ser inteligente, enviando lembretes para registrar transações que podem ter sido esquecidas, baseando-se no histórico de gastos do usuário ou em horários pré-definidos.</x:t>
  </x:si>
  <x:si>
    <x:t xml:space="preserve">Lembretes inteligentes de transações</x:t>
  </x:si>
  <x:si>
    <x:t xml:space="preserve">RF10</x:t>
  </x:si>
  <x:si>
    <x:t xml:space="preserve">Uma funcionalidade de "desafio de economia" deve propor ao usuário um período (ex: 30 dias) para economizar uma quantia específica, com atualizações de progresso e mensagens de incentivo.</x:t>
  </x:si>
  <x:si>
    <x:t xml:space="preserve">Desafio de economia</x:t>
  </x:si>
  <x:si>
    <x:t xml:space="preserve">RF11</x:t>
  </x:si>
  <x:si>
    <x:t xml:space="preserve">O aplicativo deve suportar múltiplos perfis financeiros, permitindo que o usuário gerencie, por exemplo, uma conta pessoal e uma conta conjunta separadamente.</x:t>
  </x:si>
  <x:si>
    <x:t xml:space="preserve">Perfis financeiros múltiplos</x:t>
  </x:si>
  <x:si>
    <x:t xml:space="preserve">RF12</x:t>
  </x:si>
  <x:si>
    <x:t xml:space="preserve">Para melhorar a precisão dos dados, o usuário pode anexar uma foto do recibo da compra ao registrar uma despesa, utilizando a câmera do dispositivo.</x:t>
  </x:si>
  <x:si>
    <x:t xml:space="preserve">Anexo de recibo à despesa</x:t>
  </x:si>
  <x:si>
    <x:t xml:space="preserve">RF13</x:t>
  </x:si>
  <x:si>
    <x:t xml:space="preserve">O aplicativo deve permitir a busca e filtragem de transações por data, categoria, descrição ou valor, facilitando a localização de registros específicos.</x:t>
  </x:si>
  <x:si>
    <x:t xml:space="preserve">Consulta, busca e filtros de transações</x:t>
  </x:si>
  <x:si>
    <x:t xml:space="preserve">RF14</x:t>
  </x:si>
  <x:si>
    <x:t xml:space="preserve">O Orca Finance deve oferecer uma visão preditiva, analisando os padrões de gastos para estimar o saldo no final do mês, com base nas despesas e receitas programadas.</x:t>
  </x:si>
  <x:si>
    <x:t xml:space="preserve">Previsão de saldo e fluxo de caixa</x:t>
  </x:si>
  <x:si>
    <x:t xml:space="preserve">RF15</x:t>
  </x:si>
  <x:si>
    <x:t xml:space="preserve">O sistema deve suportar a criação de regras de automação, como "sempre que eu registrar um gasto em 'Transporte', classificar como 'Essencial'".</x:t>
  </x:si>
  <x:si>
    <x:t xml:space="preserve">Regras de automação de classificação</x:t>
  </x:si>
  <x:si>
    <x:t xml:space="preserve">RF16</x:t>
  </x:si>
  <x:si>
    <x:t xml:space="preserve">A sincronização dos dados entre diferentes dispositivos deve ser implementada, garantindo que o usuário tenha acesso às suas informações financeiras em qualquer lugar.</x:t>
  </x:si>
  <x:si>
    <x:t xml:space="preserve">Sincronização entre dispositivos</x:t>
  </x:si>
  <x:si>
    <x:t xml:space="preserve">RF17</x:t>
  </x:si>
  <x:si>
    <x:t xml:space="preserve">O aplicativo deve integrar uma API de conversão de moedas para permitir que o usuário registre gastos em diferentes moedas, que serão automaticamente convertidas para a moeda base do perfil.</x:t>
  </x:si>
  <x:si>
    <x:t xml:space="preserve">Conversão de moedas</x:t>
  </x:si>
  <x:si>
    <x:t xml:space="preserve">RF18</x:t>
  </x:si>
  <x:si>
    <x:t xml:space="preserve">Para combater compras impulsivas em aplicativos de comércio eletrônico, o sistema deve permitir ao usuário configurar uma lista de aplicativos "gatilho" que, quando abertos, disparam uma notificação com uma pergunta reflexiva sobre a necessidade da compra.</x:t>
  </x:si>
  <x:si>
    <x:t xml:space="preserve">Aplicativos gatilho e reflexão</x:t>
  </x:si>
  <x:si>
    <x:t xml:space="preserve">RF19</x:t>
  </x:si>
  <x:si>
    <x:t xml:space="preserve">O módulo de "educação financeira" deve exibir pequenos artigos ou dicas diárias sobre economia, investimentos e controle de gastos, com a possibilidade de o usuário marcar os que já leu.</x:t>
  </x:si>
  <x:si>
    <x:t xml:space="preserve">Conteúdo de educação financeira</x:t>
  </x:si>
  <x:si>
    <x:t xml:space="preserve">RF20</x:t>
  </x:si>
  <x:si>
    <x:t xml:space="preserve">O usuário deve poder registrar receitas recorrentes, como salário, e despesas fixas, como aluguel, configurando-as para serem adicionadas automaticamente ao extrato em datas específicas.</x:t>
  </x:si>
  <x:si>
    <x:t xml:space="preserve">Recorrências e lembretes de vencimento</x:t>
  </x:si>
  <x:si>
    <x:t xml:space="preserve">RF21</x:t>
  </x:si>
  <x:si>
    <x:t xml:space="preserve">Um sistema de tags deve ser implementado, permitindo ao usuário marcar transações com palavras-chave (ex: #viagem, #urgente) para uma categorização e busca ainda mais flexíveis.</x:t>
  </x:si>
  <x:si>
    <x:t xml:space="preserve">Detalhamento de transações</x:t>
  </x:si>
  <x:si>
    <x:t xml:space="preserve">RF22</x:t>
  </x:si>
  <x:si>
    <x:t xml:space="preserve">O aplicativo deve calcular e exibir métricas financeiras importantes, como a taxa de poupança (percentual da renda que é economizado) e o saldo médio diário.</x:t>
  </x:si>
  <x:si>
    <x:t xml:space="preserve">Métricas financeiras</x:t>
  </x:si>
  <x:si>
    <x:t xml:space="preserve">RF23</x:t>
  </x:si>
  <x:si>
    <x:t xml:space="preserve">Para promover a transparência, o histórico completo de todas as alterações feitas em uma transação (edição, exclusão) deve ser registrado e acessível ao usuário.</x:t>
  </x:si>
  <x:si>
    <x:t xml:space="preserve">Auditoria de transações</x:t>
  </x:si>
  <x:si>
    <x:t xml:space="preserve">RF24</x:t>
  </x:si>
  <x:si>
    <x:t xml:space="preserve">O aplicativo deve permitir a criação de um orçamento de "inclusão digital", onde o usuário pode definir limites para gastos com assinaturas de streaming, aplicativos e serviços online.</x:t>
  </x:si>
  <x:si>
    <x:t xml:space="preserve">RF25</x:t>
  </x:si>
  <x:si>
    <x:t xml:space="preserve">Um recurso de "simulador de compras" deve permitir que o usuário insira o valor de um bem desejado para visualizar o impacto dessa compra em seu orçamento mensal ao longo do tempo.</x:t>
  </x:si>
  <x:si>
    <x:t xml:space="preserve">Simulação de impacto de compras</x:t>
  </x:si>
  <x:si>
    <x:t xml:space="preserve">RF26</x:t>
  </x:si>
  <x:si>
    <x:t xml:space="preserve">O sistema deve fornecer um "resumo semanal" dos gastos, enviado por notificação push, que destaca os maiores gastos e o progresso em relação ao orçamento.</x:t>
  </x:si>
  <x:si>
    <x:t xml:space="preserve">Resumo semanal por notificação</x:t>
  </x:si>
  <x:si>
    <x:t xml:space="preserve">RF27</x:t>
  </x:si>
  <x:si>
    <x:t xml:space="preserve">O Orca Finance deve possibilitar que o usuário defina um limite máximo de gastos diário, com um alerta sendo disparado sempre que esse limite for atingido.</x:t>
  </x:si>
  <x:si>
    <x:t xml:space="preserve">Limites de gastos e alertas</x:t>
  </x:si>
  <x:si>
    <x:t xml:space="preserve">RF28</x:t>
  </x:si>
  <x:si>
    <x:t xml:space="preserve">Para uma análise mais profunda, o usuário pode exportar seus dados financeiros para um formato compatível com ferramentas de planilha, como o Excel.</x:t>
  </x:si>
  <x:si>
    <x:t xml:space="preserve">RF29</x:t>
  </x:si>
  <x:si>
    <x:t xml:space="preserve">O aplicativo deve incluir um recurso para digitalizar recibos usando a câmera, utilizando uma biblioteca de reconhecimento óptico de caracteres (OCR) para extrair automaticamente dados como valor, data e estabelecimento.</x:t>
  </x:si>
  <x:si>
    <x:t xml:space="preserve">Digitalização de recibos por OCR</x:t>
  </x:si>
  <x:si>
    <x:t xml:space="preserve">RF30</x:t>
  </x:si>
  <x:si>
    <x:t xml:space="preserve">O sistema deve permitir que o usuário compartilhe o progresso de suas metas de economia com contatos selecionados, como um parceiro ou um amigo para fins de motivação.</x:t>
  </x:si>
  <x:si>
    <x:t xml:space="preserve">Compartilhamento de metas</x:t>
  </x:si>
  <x:si>
    <x:t xml:space="preserve">RF31</x:t>
  </x:si>
  <x:si>
    <x:t xml:space="preserve">Um "modo escuro" deve ser implementado para melhorar a usabilidade do aplicativo em ambientes com pouca luz, respeitando as configurações de tema do sistema Android.</x:t>
  </x:si>
  <x:si>
    <x:t xml:space="preserve">Personalização visual</x:t>
  </x:si>
  <x:si>
    <x:t xml:space="preserve">RF32</x:t>
  </x:si>
  <x:si>
    <x:t xml:space="preserve">O aplicativo deve oferecer uma ferramenta para calcular o valor de juros compostos, ajudando o usuário a visualizar o potencial de crescimento de seus investimentos a longo prazo.</x:t>
  </x:si>
  <x:si>
    <x:t xml:space="preserve">Juros compostos e custo de oportunidade</x:t>
  </x:si>
  <x:si>
    <x:t xml:space="preserve">RF33</x:t>
  </x:si>
  <x:si>
    <x:t xml:space="preserve">Para categorizar transações automaticamente, o sistema deve aprender com as ações do usuário, sugerindo a categoria correta para uma nova despesa baseada em descrições anteriores semelhantes.</x:t>
  </x:si>
  <x:si>
    <x:t xml:space="preserve">Sugestão inteligente de categoria</x:t>
  </x:si>
  <x:si>
    <x:t xml:space="preserve">RF34</x:t>
  </x:si>
  <x:si>
    <x:t xml:space="preserve">O usuário deve poder definir um orçamento para um período específico que não seja mensal, como semanal ou anual, para atender a necessidades de planejamento diferenciadas.</x:t>
  </x:si>
  <x:si>
    <x:t xml:space="preserve">Orçamentos flexíveis, temporários e por evento</x:t>
  </x:si>
  <x:si>
    <x:t xml:space="preserve">RF35</x:t>
  </x:si>
  <x:si>
    <x:t xml:space="preserve">O Orca Finance deve implementar um sistema de "taxa de realização de metas", que calcula a porcentagem de metas de economia que o usuário conseguiu cumprir nos últimos meses.</x:t>
  </x:si>
  <x:si>
    <x:t xml:space="preserve">Taxa de realização de metas</x:t>
  </x:si>
  <x:si>
    <x:t xml:space="preserve">RF36</x:t>
  </x:si>
  <x:si>
    <x:t xml:space="preserve">O aplicativo deve permitir a inclusão de anotações em cada transação, proporcionando um contexto adicional que pode ser útil para revisões futuras.</x:t>
  </x:si>
  <x:si>
    <x:t xml:space="preserve">RF37</x:t>
  </x:si>
  <x:si>
    <x:t xml:space="preserve">Um recurso de "planejador de grandes compras" deve ajudar o usuário a criar um plano de economia para um bem de alto valor, dividindo o custo total em parcelas mensais que caibam em seu orçamento.</x:t>
  </x:si>
  <x:si>
    <x:t xml:space="preserve">Planejador de grandes compras</x:t>
  </x:si>
  <x:si>
    <x:t xml:space="preserve">RF38</x:t>
  </x:si>
  <x:si>
    <x:t xml:space="preserve">O sistema deve fornecer uma visão clara do fluxo de caixa, apresentando uma projeção de entradas e saídas de dinheiro para os próximos 30 dias, com base em dados recorrentes e agendados.</x:t>
  </x:si>
  <x:si>
    <x:t xml:space="preserve">RF39</x:t>
  </x:si>
  <x:si>
    <x:t xml:space="preserve">Para lidar com finanças compartilhadas, o aplicativo deve permitir que o usuário marque uma transação como "compartilhada" e calcule a parte que cabe a cada envolvido.</x:t>
  </x:si>
  <x:si>
    <x:t xml:space="preserve">Finanças compartilhadas</x:t>
  </x:si>
  <x:si>
    <x:t xml:space="preserve">RF40</x:t>
  </x:si>
  <x:si>
    <x:t xml:space="preserve">O aplicativo deve oferecer uma funcionalidade para reverter uma transação, caso o usuário a tenha registrado por engano, com um fluxo claro para fazer a correção.</x:t>
  </x:si>
  <x:si>
    <x:t xml:space="preserve">Reversão de transação</x:t>
  </x:si>
  <x:si>
    <x:t xml:space="preserve">RF41</x:t>
  </x:si>
  <x:si>
    <x:t xml:space="preserve">Um painel de "gastos por localização" deve ser implementado, utilizando o GPS do telefone para categorizar gastos com base no estabelecimento onde a compra foi realizada.</x:t>
  </x:si>
  <x:si>
    <x:t xml:space="preserve">Gastos por localização e categorização pelo estabelecimento</x:t>
  </x:si>
  <x:si>
    <x:t xml:space="preserve">RF42</x:t>
  </x:si>
  <x:si>
    <x:t xml:space="preserve">O sistema deve permitir a criação de múltiplos orçamentos temporários, como um orçamento específico para uma viagem ou para um projeto pessoal.</x:t>
  </x:si>
  <x:si>
    <x:t xml:space="preserve">RF43</x:t>
  </x:si>
  <x:si>
    <x:t xml:space="preserve">O Orca Finance deve incluir um jogo de simulação onde o usuário toma decisões financeiras em cenários hipotéticos para aprender sobre consequências de escolhas de consumo.</x:t>
  </x:si>
  <x:si>
    <x:t xml:space="preserve">Jogo de simulação financeira</x:t>
  </x:si>
  <x:si>
    <x:t xml:space="preserve">RF44</x:t>
  </x:si>
  <x:si>
    <x:t xml:space="preserve">O aplicativo deve fornecer uma análise de tendências, mostrando se os gastos do usuário em cada categoria estão aumentando, diminuindo ou se mantendo estáveis ao longo dos meses.</x:t>
  </x:si>
  <x:si>
    <x:t xml:space="preserve">Tendências de gastos</x:t>
  </x:si>
  <x:si>
    <x:t xml:space="preserve">RF45</x:t>
  </x:si>
  <x:si>
    <x:t xml:space="preserve">Para um registro mais rápido, o aplicativo deve permitir a criação de um atalho na tela inicial do Android que abre diretamente a tela de registro de uma nova transação.</x:t>
  </x:si>
  <x:si>
    <x:t xml:space="preserve">Atalho de acesso rápido</x:t>
  </x:si>
  <x:si>
    <x:t xml:space="preserve">RF46</x:t>
  </x:si>
  <x:si>
    <x:t xml:space="preserve">O sistema deve permitir que o usuário estabeleça um "orçamento zero" (zero-based budget), onde cada real da renda é destinado a uma categoria específica, promovendo um planejamento mais rigoroso.</x:t>
  </x:si>
  <x:si>
    <x:t xml:space="preserve">Orçamento zero-based</x:t>
  </x:si>
  <x:si>
    <x:t xml:space="preserve">RF47</x:t>
  </x:si>
  <x:si>
    <x:t xml:space="preserve">O aplicativo deve gerar um "certificado de economia" ao final de um desafio bem-sucedido, que pode ser compartilhado em redes sociais ou guardado como registro.</x:t>
  </x:si>
  <x:si>
    <x:t xml:space="preserve">Conquistas e certificado de desafios</x:t>
  </x:si>
  <x:si>
    <x:t xml:space="preserve">RF48</x:t>
  </x:si>
  <x:si>
    <x:t xml:space="preserve">Para proteger os dados sensíveis, o aplicativo deve oferecer a opção de bloqueio por biometria (impressão digital ou reconhecimento facial) ou por um PIN, utilizando as APIs de autenticação do Android.</x:t>
  </x:si>
  <x:si>
    <x:t xml:space="preserve">Bloqueio de acesso</x:t>
  </x:si>
  <x:si>
    <x:t xml:space="preserve">RF49</x:t>
  </x:si>
  <x:si>
    <x:t xml:space="preserve">O sistema deve integrar uma API de notícias financeiras para exibir ao usuário um feed de artigos relevantes sobre economia e mercado.</x:t>
  </x:si>
  <x:si>
    <x:t xml:space="preserve">Feed de notícias financeiras</x:t>
  </x:si>
  <x:si>
    <x:t xml:space="preserve">RF50</x:t>
  </x:si>
  <x:si>
    <x:t xml:space="preserve">O Orca Finance deve permitir que o usuário personalize as cores dos gráficos e do tema do aplicativo, adaptando a interface ao seu gosto pessoal.</x:t>
  </x:si>
  <x:si>
    <x:t xml:space="preserve">RF51</x:t>
  </x:si>
  <x:si>
    <x:t xml:space="preserve">Um recurso de "análise de custo de oportunidade" deve ser implementado, mostrando ao usuário o quanto um gasto presente poderia se tornar no futuro se fosse investido.</x:t>
  </x:si>
  <x:si>
    <x:t xml:space="preserve">RF52</x:t>
  </x:si>
  <x:si>
    <x:t xml:space="preserve">O aplicativo deve oferecer a opção de realizar um "check-in" financeiro, onde o usuário responde a perguntas sobre seu estado emocional e hábitos de consumo, e o sistema oferece um feedback personalizado.</x:t>
  </x:si>
  <x:si>
    <x:t xml:space="preserve">Check-in financeiro e feedback</x:t>
  </x:si>
  <x:si>
    <x:t xml:space="preserve">RF53</x:t>
  </x:si>
  <x:si>
    <x:t xml:space="preserve">Para promover a sustentabilidade, o aplicativo deve calcular e exibir a "pegada de carbono" estimada com base nos padrões de consumo do usuário (ex: gastos com combustível, energia).</x:t>
  </x:si>
  <x:si>
    <x:t xml:space="preserve">Pegada de carbono do consumo</x:t>
  </x:si>
  <x:si>
    <x:t xml:space="preserve">RF54</x:t>
  </x:si>
  <x:si>
    <x:t xml:space="preserve">O sistema deve permitir que o usuário configure alertas para quando uma categoria de gasto específica ultrapassar um limite definido, com a opção de receber a notificação por e-mail ou push.</x:t>
  </x:si>
  <x:si>
    <x:t xml:space="preserve">RF55</x:t>
  </x:si>
  <x:si>
    <x:t xml:space="preserve">O aplicativo deve fornecer uma funcionalidade para comparar o orçamento planejado com o realizado, destacando as variações e as categorias que mais contribuíram para a diferença.</x:t>
  </x:si>
  <x:si>
    <x:t xml:space="preserve">Comparação orçado x realizado</x:t>
  </x:si>
  <x:si>
    <x:t xml:space="preserve">RF56</x:t>
  </x:si>
  <x:si>
    <x:t xml:space="preserve">Um modo "avião financeiro" deve ser implementado para bloquear temporariamente o acesso a todas as funções do aplicativo, exceto a visualização, para momentos de pausa planejada.</x:t>
  </x:si>
  <x:si>
    <x:t xml:space="preserve">Modo pausa financeira</x:t>
  </x:si>
  <x:si>
    <x:t xml:space="preserve">RF57</x:t>
  </x:si>
  <x:si>
    <x:t xml:space="preserve">O sistema deve permitir que o usuário defina uma "cota de gastos livres", um valor mensal que pode ser gasto sem categorização, para dar flexibilidade ao orçamento.</x:t>
  </x:si>
  <x:si>
    <x:t xml:space="preserve">Cota de gastos livres</x:t>
  </x:si>
  <x:si>
    <x:t xml:space="preserve">RF58</x:t>
  </x:si>
  <x:si>
    <x:t xml:space="preserve">Para um controle mais preciso, o Orca Finance deve suportar o registro de despesas com métodos de pagamento específicos (dinheiro, cartão de crédito, débito, etc.), permitindo filtrar por eles.</x:t>
  </x:si>
  <x:si>
    <x:t xml:space="preserve">RF58 possui duas responsabilidades inseparáveis: registrar o método de pagamento em US02 e permitir filtro por esse método em US03.</x:t>
  </x:si>
  <x:si>
    <x:t xml:space="preserve">Cobertura múltipla justificada</x:t>
  </x:si>
  <x:si>
    <x:t xml:space="preserve">RF59</x:t>
  </x:si>
  <x:si>
    <x:t xml:space="preserve">O aplicativo deve permitir a criação de um "diário de consumo", onde o usuário pode escrever livremente sobre suas motivações para comprar algo, ajudando na autorreflexão.</x:t>
  </x:si>
  <x:si>
    <x:t xml:space="preserve">Diário de consumo</x:t>
  </x:si>
  <x:si>
    <x:t xml:space="preserve">RF60</x:t>
  </x:si>
  <x:si>
    <x:t xml:space="preserve">O sistema deve fornecer uma previsão do impacto de uma compra parcelada no orçamento dos próximos meses, mostrando o comprometimento da renda futura.</x:t>
  </x:si>
  <x:si>
    <x:t xml:space="preserve">RF61</x:t>
  </x:si>
  <x:si>
    <x:t xml:space="preserve">O usuário deve poder importar dados financeiros de um arquivo CSV ou de um extrato bancário, desde que siga um formato predefinido, para não precisar registrar tudo manualmente.</x:t>
  </x:si>
  <x:si>
    <x:t xml:space="preserve">Importação de dados financeiros</x:t>
  </x:si>
  <x:si>
    <x:t xml:space="preserve">RF62</x:t>
  </x:si>
  <x:si>
    <x:t xml:space="preserve">O aplicativo deve exibir um indicador de "saúde financeira", uma pontuação calculada com base em múltiplas métricas, como dívidas, poupança e controle de gastos.</x:t>
  </x:si>
  <x:si>
    <x:t xml:space="preserve">Indicador de saúde financeira</x:t>
  </x:si>
  <x:si>
    <x:t xml:space="preserve">RF63</x:t>
  </x:si>
  <x:si>
    <x:t xml:space="preserve">O sistema deve permitir a criação de um "orçamento por evento", como um casamento ou uma festa de aniversário, onde todos os gastos relacionados são agrupados e acompanhados.</x:t>
  </x:si>
  <x:si>
    <x:t xml:space="preserve">RF64</x:t>
  </x:si>
  <x:si>
    <x:t xml:space="preserve">O Orca Finance deve possibilitar que o usuário defina lembretes para datas de vencimento de contas, associando a conta a uma transação futura programada.</x:t>
  </x:si>
  <x:si>
    <x:t xml:space="preserve">RF65</x:t>
  </x:si>
  <x:si>
    <x:t xml:space="preserve">Um recurso de "desafio de despesas essenciais" deve incentivar o usuário a reduzir gastos em uma categoria específica, sugerindo alternativas mais econômicas.</x:t>
  </x:si>
  <x:si>
    <x:t xml:space="preserve">Desafio de despesas essenciais</x:t>
  </x:si>
  <x:si>
    <x:t xml:space="preserve">RF66</x:t>
  </x:si>
  <x:si>
    <x:t xml:space="preserve">Para auxiliar na decisão de compra, o aplicativo deve permitir que o usuário compare o preço de um produto desejado com a sua média de preços dos últimos meses.</x:t>
  </x:si>
  <x:si>
    <x:t xml:space="preserve">Comparação de preço histórico</x:t>
  </x:si>
  <x:si>
    <x:t xml:space="preserve">RF67</x:t>
  </x:si>
  <x:si>
    <x:t xml:space="preserve">O sistema deve oferecer a opção de "modo de apresentação", que oculta valores monetários e exibe apenas o progresso em porcentagem para compartilhar com outras pessoas.</x:t>
  </x:si>
  <x:si>
    <x:t xml:space="preserve">Modo de apresentação e privacidade</x:t>
  </x:si>
  <x:si>
    <x:t xml:space="preserve">RF68</x:t>
  </x:si>
  <x:si>
    <x:t xml:space="preserve">O usuário deve poder configurar o aplicativo para receber um resumo financeiro mensal em formato de relatório PDF, que pode ser salvo ou compartilhado.</x:t>
  </x:si>
  <x:si>
    <x:t xml:space="preserve">Resumo financeiro mensal em PDF</x:t>
  </x:si>
  <x:si>
    <x:t xml:space="preserve">RF69</x:t>
  </x:si>
  <x:si>
    <x:t xml:space="preserve">O aplicativo deve implementar um sistema de conquistas (gamificação), onde o usuário ganha distintivos por ações como economizar por um mês seguido ou completar um desafio.</x:t>
  </x:si>
  <x:si>
    <x:t xml:space="preserve">RF70</x:t>
  </x:si>
  <x:si>
    <x:t xml:space="preserve">Para promover hábitos conscientes, o aplicativo deve exibir uma frase ou pergunta reflexiva toda vez que o usuário estiver prestes a finalizar o registro de uma compra não essencial.</x:t>
  </x:si>
  <x:si>
    <x:t xml:space="preserve">RF71</x:t>
  </x:si>
  <x:si>
    <x:t xml:space="preserve">O sistema deve permitir a criação de "regras de gastos", como "gastos com lazer não podem exceder 10% da renda mensal", e alertar o usuário quando a regra for violada</x:t>
  </x:si>
  <x:si>
    <x:t xml:space="preserve">Regras de gastos</x:t>
  </x:si>
  <x:si>
    <x:t xml:space="preserve">Dependências entre User Stories</x:t>
  </x:si>
  <x:si>
    <x:t xml:space="preserve">Somente dependências funcionais ou de implementação suficientemente justificadas. Dependências que exigiriam decisão ainda não tomada não foram assumidas.</x:t>
  </x:si>
  <x:si>
    <x:t xml:space="preserve">Depende de</x:t>
  </x:si>
  <x:si>
    <x:t xml:space="preserve">Funcionalidade dependência</x:t>
  </x:si>
  <x:si>
    <x:t xml:space="preserve">Justificativa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</x:si>
</x:sst>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2E75B6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4" fillId="0" borderId="0" xfId="0" applyFont="1" applyAlignment="1">
      <x:alignment vertical="top" wrapText="1"/>
    </x:xf>
    <x:xf numFmtId="0" fontId="3" fillId="6" borderId="0" xfId="0" applyFont="1" applyFill="1" applyAlignment="1">
      <x:alignment horizontal="center" vertical="center"/>
    </x:xf>
    <x:xf numFmtId="0" fontId="0" fillId="0" borderId="0" xfId="0" applyAlignment="1">
      <x:alignment horizontal="center" vertical="top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vertical="center" wrapText="1"/>
    </x:xf>
    <x:xf numFmtId="0" fontId="5" fillId="5" borderId="0" xfId="0" applyFont="1" applyFill="1" applyAlignment="1">
      <x:alignment horizontal="center" vertical="center"/>
    </x:xf>
    <x:xf numFmtId="0" fontId="0" fillId="0" borderId="0" xfId="0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5"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EADCF8"/>
        </x:patternFill>
      </x:fill>
    </x:dxf>
    <x:dxf>
      <x:font>
        <x:b/>
      </x:font>
      <x:fill>
        <x:patternFill>
          <x:bgColor rgb="FFD9EAF7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EADCF8"/>
        </x:patternFill>
      </x:fill>
    </x:dxf>
    <x:dxf>
      <x:font>
        <x:b/>
      </x:font>
      <x:fill>
        <x:patternFill>
          <x:bgColor rgb="FFD9EAF7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ad7e1c9d94877" /><Relationship Type="http://schemas.openxmlformats.org/officeDocument/2006/relationships/theme" Target="/xl/theme/theme1.xml" Id="Re37fe6950cc84ed9" /><Relationship Type="http://schemas.openxmlformats.org/officeDocument/2006/relationships/sharedStrings" Target="/xl/sharedStrings.xml" Id="R1ae81f6bc8b64afa" /><Relationship Type="http://schemas.openxmlformats.org/officeDocument/2006/relationships/worksheet" Target="/xl/worksheets/sheet1.xml" Id="Rc385d945459c43ad" /><Relationship Type="http://schemas.openxmlformats.org/officeDocument/2006/relationships/worksheet" Target="/xl/worksheets/sheet2.xml" Id="R816e1506046b4a81" /><Relationship Type="http://schemas.openxmlformats.org/officeDocument/2006/relationships/worksheet" Target="/xl/worksheets/sheet3.xml" Id="R7ef94fb38d114c6f" /><Relationship Type="http://schemas.openxmlformats.org/officeDocument/2006/relationships/worksheet" Target="/xl/worksheets/sheet4.xml" Id="R806b8bd6ba1e42a5" /><Relationship Type="http://schemas.openxmlformats.org/officeDocument/2006/relationships/worksheet" Target="/xl/worksheets/sheet5.xml" Id="R4be7972c726d42e4" /><Relationship Type="http://schemas.openxmlformats.org/officeDocument/2006/relationships/worksheet" Target="/xl/worksheets/sheet6.xml" Id="Re549359d46214a46" /><Relationship Type="http://schemas.openxmlformats.org/officeDocument/2006/relationships/worksheet" Target="/xl/worksheets/sheet7.xml" Id="R507be83500004651" /><Relationship Type="http://schemas.openxmlformats.org/officeDocument/2006/relationships/worksheet" Target="/xl/worksheets/sheet8.xml" Id="R6e7b0327a0224a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6e085e4c7e4198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User Stories por Épico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Qtd. US</c:v>
          </c:tx>
          <c:cat>
            <c:strRef>
              <c:f>Resumo!$D$5:$D$12</c:f>
              <c:strCache>
                <c:ptCount val="8"/>
                <c:pt idx="0">
                  <c:v>Transações e Organização Financeira</c:v>
                </c:pt>
                <c:pt idx="1">
                  <c:v>Orçamentos e Regras de Gastos</c:v>
                </c:pt>
                <c:pt idx="2">
                  <c:v>Metas, Desafios e Consumo Consciente</c:v>
                </c:pt>
                <c:pt idx="3">
                  <c:v>Análises, Relatórios e Indicadores</c:v>
                </c:pt>
                <c:pt idx="4">
                  <c:v>Planejamento e Simulação Financeira</c:v>
                </c:pt>
                <c:pt idx="5">
                  <c:v>Automação, Recorrência e Entrada Assistida</c:v>
                </c:pt>
                <c:pt idx="6">
                  <c:v>Perfis, Sincronização, Segurança e Experiência</c:v>
                </c:pt>
                <c:pt idx="7">
                  <c:v>Educação e Conteúdo Financeiro</c:v>
                </c:pt>
              </c:strCache>
            </c:strRef>
          </c:cat>
          <c:val>
            <c:numRef>
              <c:f>Resumo!$E$5:$E$12</c:f>
              <c:numCache>
                <c:formatCode>General</c:formatCode>
                <c:ptCount val="8"/>
                <c:pt idx="0">
                  <c:v>9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4</c:v>
                </c:pt>
                <c:pt idx="5">
                  <c:v>7</c:v>
                </c:pt>
                <c:pt idx="6">
                  <c:v>7</c:v>
                </c:pt>
                <c:pt idx="7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6e085e4c7e419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picosTable" displayName="EpicosTable" ref="A4:E12" totalsRowShown="0">
  <x:tableColumns count="5">
    <x:tableColumn id="1" name="Épico"/>
    <x:tableColumn id="2" name="Nome"/>
    <x:tableColumn id="3" name="Objetivo"/>
    <x:tableColumn id="4" name="User Stories"/>
    <x:tableColumn id="5" name="Qtd. 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PrioridadesSprintsTable" displayName="PrioridadesSprintsTable" ref="A2:D60" totalsRowShown="0">
  <x:autoFilter ref="A2:D60"/>
  <x:sortState ref="A3:D60">
    <x:sortCondition ref="A2:A60"/>
  </x:sortState>
  <x:tableColumns count="4">
    <x:tableColumn id="1" name="US"/>
    <x:tableColumn id="2" name="Texto da User Story"/>
    <x:tableColumn id="3" name="Prioridade"/>
    <x:tableColumn id="4" name="Spri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BacklogFinalTable" displayName="BacklogFinalTable" ref="A4:K62" totalsRowShown="0">
  <x:autoFilter ref="A4:K62"/>
  <x:tableColumns count="11">
    <x:tableColumn id="1" name="US"/>
    <x:tableColumn id="2" name="Épico"/>
    <x:tableColumn id="3" name="Funcionalidade"/>
    <x:tableColumn id="4" name="Prioridade"/>
    <x:tableColumn id="5" name="Texto da User Story"/>
    <x:tableColumn id="6" name="RFs vinculados"/>
    <x:tableColumn id="7" name="Dependências (US)"/>
    <x:tableColumn id="8" name="RN / decisões relacionadas"/>
    <x:tableColumn id="9" name="Situação de decisão"/>
    <x:tableColumn id="10" name="Pendências / ações RN"/>
    <x:tableColumn id="11" name="Backlog revisado anterior relacion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USRFTable" displayName="USRFTable" ref="A4:J82" headerRowCount="1" totalsRowCount="0" totalsRowShown="0">
  <x:tableColumns count="10">
    <x:tableColumn id="1" name="US"/>
    <x:tableColumn id="2" name="Épico"/>
    <x:tableColumn id="3" name="Funcionalidade"/>
    <x:tableColumn id="4" name="Texto da User Story"/>
    <x:tableColumn id="5" name="RF"/>
    <x:tableColumn id="6" name="Tipo de cobertura"/>
    <x:tableColumn id="7" name="Requisito funcional original"/>
    <x:tableColumn id="8" name="Dependências (US)"/>
    <x:tableColumn id="9" name="Prioridade"/>
    <x:tableColumn id="10" name="Observaçã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FUSTable" displayName="RFUSTable" ref="A4:K75" totalsRowShown="0">
  <x:tableColumns count="11">
    <x:tableColumn id="1" name="RF"/>
    <x:tableColumn id="2" name="Requisito funcional original"/>
    <x:tableColumn id="3" name="Prioridade RF"/>
    <x:tableColumn id="4" name="US principal"/>
    <x:tableColumn id="5" name="Título US principal"/>
    <x:tableColumn id="6" name="Épico principal"/>
    <x:tableColumn id="7" name="US complementar"/>
    <x:tableColumn id="8" name="Título US complementar"/>
    <x:tableColumn id="9" name="Épico complementar"/>
    <x:tableColumn id="10" name="Observação de rastreabilidade"/>
    <x:tableColumn id="11" name="Status cobertur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DependenciasTable" displayName="DependenciasTable" ref="A4:E67" headerRowCount="1" totalsRowCount="0" totalsRowShown="0">
  <x:tableColumns count="5">
    <x:tableColumn id="1" name="US"/>
    <x:tableColumn id="2" name="Funcionalidade"/>
    <x:tableColumn id="3" name="Depende de"/>
    <x:tableColumn id="4" name="Funcionalidade dependência"/>
    <x:tableColumn id="5" name="Justificativ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RegrasSincronizadas" displayName="RegrasSincronizadas" ref="A1:H46" headerRowCount="1" totalsRowCount="0" totalsRowShown="0">
  <x:tableColumns count="8">
    <x:tableColumn id="1" name="RN"/>
    <x:tableColumn id="2" name="Status vigente"/>
    <x:tableColumn id="3" name="Regra vigente / escopo definido"/>
    <x:tableColumn id="4" name="Ação restante / detalhamento"/>
    <x:tableColumn id="5" name="RF de origem"/>
    <x:tableColumn id="6" name="RF impactados"/>
    <x:tableColumn id="7" name="US vinculadas no backlog"/>
    <x:tableColumn id="8" name="Fonte e decis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182f6405cb47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7aabd8d8504f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ff519529bb4c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7e433880104c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5ec588646c43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303602379a47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1a58b18e1740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46e06218c34802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38" customWidth="1"/>
    <x:col min="2" max="2" width="18" customWidth="1"/>
    <x:col min="3" max="3" width="54" customWidth="1"/>
    <x:col min="4" max="4" width="42" customWidth="1"/>
    <x:col min="5" max="11" width="12" customWidth="1"/>
    <x:col min="7" max="7" width="19" hidden="0" customWidth="1"/>
    <x:col min="8" max="8" width="19" hidden="0" customWidth="1"/>
  </x:cols>
  <x:sheetData>
    <x:row r="1" ht="22.350000381469727" customHeight="1">
      <x:c r="A1" s="6" t="s">
        <x:v>0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7.149999618530273" customHeight="1">
      <x:c r="A2" s="7" t="str">
        <x:v>Backlog sincronizado com a revisão consolidada de RN. 58 US e 71 RFs originais. Distribuição existente de sprints preservada.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4" customHeight="1">
      <x:c r="A4" s="1" t="s">
        <x:v>1</x:v>
      </x:c>
      <x:c r="B4" s="1" t="s">
        <x:v>2</x:v>
      </x:c>
      <x:c r="D4" s="1" t="s">
        <x:v>3</x:v>
      </x:c>
      <x:c r="E4" s="1" t="s">
        <x:v>4</x:v>
      </x:c>
      <x:c r="G4" s="20" t="str">
        <x:v>Sprint existente</x:v>
      </x:c>
      <x:c r="H4" s="20" t="str">
        <x:v>Qtd. US</x:v>
      </x:c>
    </x:row>
    <x:row r="5" ht="30" customHeight="1">
      <x:c r="A5" s="3" t="s">
        <x:v>5</x:v>
      </x:c>
      <x:c r="B5" s="2" t="n">
        <x:f>COUNTA('Épicos'!A5:A12)</x:f>
        <x:v>8</x:v>
      </x:c>
      <x:c r="D5" s="22" t="s">
        <x:v>6</x:v>
      </x:c>
      <x:c r="E5" s="2" t="n">
        <x:f>'Épicos'!E5</x:f>
        <x:v>10</x:v>
      </x:c>
      <x:c r="G5" t="n">
        <x:v>1</x:v>
      </x:c>
      <x:c r="H5" t="n">
        <x:f>COUNTIFS(Sprints!D3:D60,G5)</x:f>
        <x:v>18</x:v>
      </x:c>
    </x:row>
    <x:row r="6" ht="30" customHeight="1">
      <x:c r="A6" s="3" t="s">
        <x:v>7</x:v>
      </x:c>
      <x:c r="B6" s="2" t="n">
        <x:f>COUNTA('Backlog Revisado'!A5:A202)</x:f>
        <x:v>58</x:v>
      </x:c>
      <x:c r="D6" s="22" t="s">
        <x:v>8</x:v>
      </x:c>
      <x:c r="E6" s="2" t="n">
        <x:f>'Épicos'!E6</x:f>
        <x:v>7</x:v>
      </x:c>
      <x:c r="G6" t="n">
        <x:v>2</x:v>
      </x:c>
      <x:c r="H6" t="n">
        <x:f>COUNTIFS(Sprints!D3:D60,G6)</x:f>
        <x:v>19</x:v>
      </x:c>
    </x:row>
    <x:row r="7" ht="30" customHeight="1">
      <x:c r="A7" s="3" t="s">
        <x:v>9</x:v>
      </x:c>
      <x:c r="B7" s="2" t="n">
        <x:f>COUNTA('RF → US'!A5:A200)</x:f>
        <x:v>71</x:v>
      </x:c>
      <x:c r="D7" s="22" t="s">
        <x:v>10</x:v>
      </x:c>
      <x:c r="E7" s="2" t="n">
        <x:f>'Épicos'!E7</x:f>
        <x:v>9</x:v>
      </x:c>
      <x:c r="G7" t="n">
        <x:v>3</x:v>
      </x:c>
      <x:c r="H7" t="n">
        <x:f>COUNTIFS(Sprints!D3:D60,G7)</x:f>
        <x:v>21</x:v>
      </x:c>
    </x:row>
    <x:row r="8" ht="30" customHeight="1">
      <x:c r="A8" s="3" t="s">
        <x:v>11</x:v>
      </x:c>
      <x:c r="B8" s="2" t="n">
        <x:f>COUNTIF('RF → US'!K5:K200,"Coberto")+COUNTIF('RF → US'!K5:K200,"Cobertura múltipla justificada")</x:f>
        <x:v>71</x:v>
      </x:c>
      <x:c r="D8" s="22" t="s">
        <x:v>12</x:v>
      </x:c>
      <x:c r="E8" s="2" t="n">
        <x:f>'Épicos'!E8</x:f>
        <x:v>11</x:v>
      </x:c>
    </x:row>
    <x:row r="9" ht="30" customHeight="1">
      <x:c r="A9" s="3" t="s">
        <x:v>13</x:v>
      </x:c>
      <x:c r="B9" s="2" t="n">
        <x:f>COUNTIF('RF → US'!K5:K200,"Sem cobertura")</x:f>
        <x:v>0</x:v>
      </x:c>
      <x:c r="D9" s="22" t="s">
        <x:v>14</x:v>
      </x:c>
      <x:c r="E9" s="2" t="n">
        <x:f>'Épicos'!E9</x:f>
        <x:v>4</x:v>
      </x:c>
    </x:row>
    <x:row r="10" ht="30" customHeight="1">
      <x:c r="A10" s="3" t="s">
        <x:v>15</x:v>
      </x:c>
      <x:c r="B10" s="2" t="n">
        <x:f>COUNTIF('RF → US'!K5:K200,"Cobertura múltipla justificada")</x:f>
        <x:v>1</x:v>
      </x:c>
      <x:c r="D10" s="22" t="s">
        <x:v>16</x:v>
      </x:c>
      <x:c r="E10" s="2" t="n">
        <x:f>'Épicos'!E10</x:f>
        <x:v>7</x:v>
      </x:c>
    </x:row>
    <x:row r="11" ht="30" customHeight="1">
      <x:c r="A11" s="3" t="str">
        <x:v>US sem RF original explícito</x:v>
      </x:c>
      <x:c r="B11" s="2" t="n">
        <x:f>COUNTIFS('Backlog Revisado'!F5:F62,"Sem RF original explícito")</x:f>
        <x:v>1</x:v>
      </x:c>
      <x:c r="D11" s="22" t="s">
        <x:v>17</x:v>
      </x:c>
      <x:c r="E11" s="2" t="n">
        <x:f>'Épicos'!E11</x:f>
        <x:v>7</x:v>
      </x:c>
    </x:row>
    <x:row r="12" ht="30" customHeight="1">
      <x:c r="A12" s="3" t="str">
        <x:v>RN consolidadas</x:v>
      </x:c>
      <x:c r="B12" s="2" t="n">
        <x:f>COUNTIFS('RN sincronizadas'!B2:B46,"Consolidada")</x:f>
        <x:v>38</x:v>
      </x:c>
      <x:c r="D12" s="22" t="s">
        <x:v>18</x:v>
      </x:c>
      <x:c r="E12" s="2" t="n">
        <x:f>'Épicos'!E12</x:f>
        <x:v>3</x:v>
      </x:c>
    </x:row>
    <x:row r="13" ht="30" customHeight="1">
      <x:c r="A13" s="3" t="str">
        <x:v>RN ainda pendentes</x:v>
      </x:c>
      <x:c r="B13" s="2" t="n">
        <x:f>COUNTIFS('RN sincronizadas'!B2:B46,"Pendente")+COUNTIFS('RN sincronizadas'!B2:B46,"Ajustar")</x:f>
        <x:v>7</x:v>
      </x:c>
    </x:row>
    <x:row r="14" ht="30" customHeight="1">
      <x:c r="A14" s="3" t="str">
        <x:v>US com decisão RN/DP pendente</x:v>
      </x:c>
      <x:c r="B14" s="2" t="n">
        <x:f>COUNTIFS('Backlog Revisado'!I5:I62,"RN pendente")+COUNTIFS('Backlog Revisado'!I5:I62,"Decisão pendente")</x:f>
        <x:v>10</x:v>
      </x:c>
    </x:row>
    <x:row r="17" ht="24" customHeight="1">
      <x:c r="A17" s="1" t="s">
        <x:v>19</x:v>
      </x:c>
      <x:c r="B17" s="1" t="s">
        <x:v>20</x:v>
      </x:c>
      <x:c r="C17" s="1" t="s">
        <x:v>21</x:v>
      </x:c>
    </x:row>
    <x:row r="18">
      <x:c r="A18" s="2" t="s">
        <x:v>22</x:v>
      </x:c>
      <x:c r="B18" s="2" t="s">
        <x:v>23</x:v>
      </x:c>
      <x:c r="C18" s="2" t="str">
        <x:v>Verificado nesta revisão contra o backlog e os 71 RFs originais.</x:v>
      </x:c>
    </x:row>
    <x:row r="19">
      <x:c r="A19" s="2" t="s">
        <x:v>24</x:v>
      </x:c>
      <x:c r="B19" s="2" t="s">
        <x:v>23</x:v>
      </x:c>
      <x:c r="C19" s="2" t="str">
        <x:v>Verificado nesta revisão contra o backlog e os 71 RFs originais.</x:v>
      </x:c>
    </x:row>
    <x:row r="20">
      <x:c r="A20" s="2" t="str">
        <x:v>US sem RF com origem justificada</x:v>
      </x:c>
      <x:c r="B20" s="2" t="s">
        <x:v>23</x:v>
      </x:c>
      <x:c r="C20" s="2" t="str">
        <x:v>US60: RN-ID-01 a RN-ID-04; impactos nos RFs não contados como cobertura.</x:v>
      </x:c>
    </x:row>
    <x:row r="21">
      <x:c r="A21" s="2" t="s">
        <x:v>25</x:v>
      </x:c>
      <x:c r="B21" s="2" t="s">
        <x:v>23</x:v>
      </x:c>
      <x:c r="C21" s="2" t="str">
        <x:v>Verificado nesta revisão contra o backlog e os 71 RFs originais.</x:v>
      </x:c>
    </x:row>
    <x:row r="22">
      <x:c r="A22" s="2" t="s">
        <x:v>26</x:v>
      </x:c>
      <x:c r="B22" s="2" t="s">
        <x:v>23</x:v>
      </x:c>
      <x:c r="C22" s="2" t="str">
        <x:v>Verificado nesta revisão contra o backlog e os 71 RFs originais.</x:v>
      </x:c>
    </x:row>
    <x:row r="23">
      <x:c r="A23" s="2" t="s">
        <x:v>27</x:v>
      </x:c>
      <x:c r="B23" s="2" t="s">
        <x:v>23</x:v>
      </x:c>
      <x:c r="C23" s="2" t="str">
        <x:v>Verificado nesta revisão contra o backlog e os 71 RFs originais.</x:v>
      </x:c>
    </x:row>
    <x:row r="24">
      <x:c r="A24" s="2" t="s">
        <x:v>28</x:v>
      </x:c>
      <x:c r="B24" s="2" t="s">
        <x:v>23</x:v>
      </x:c>
      <x:c r="C24" s="2" t="str">
        <x:v>Verificado nesta revisão contra o backlog e os 71 RFs originais.</x:v>
      </x:c>
    </x:row>
    <x:row r="25">
      <x:c r="A25" s="2" t="s">
        <x:v>29</x:v>
      </x:c>
      <x:c r="B25" s="2" t="s">
        <x:v>23</x:v>
      </x:c>
      <x:c r="C25" s="2" t="str">
        <x:v>US60 formalizada em EP01 e Sprint 1, conforme backlog recebido.</x:v>
      </x:c>
    </x:row>
    <x:row r="26">
      <x:c r="A26" s="2" t="s">
        <x:v>30</x:v>
      </x:c>
      <x:c r="B26" s="2" t="s">
        <x:v>23</x:v>
      </x:c>
      <x:c r="C26" s="2" t="str">
        <x:v>Verificado nesta revisão contra o backlog e os 71 RFs originais.</x:v>
      </x:c>
    </x:row>
    <x:row r="27">
      <x:c r="A27" s="2" t="s">
        <x:v>31</x:v>
      </x:c>
      <x:c r="B27" s="2" t="s">
        <x:v>23</x:v>
      </x:c>
      <x:c r="C27" s="2" t="str">
        <x:v>Verificado nesta revisão contra o backlog e os 71 RFs originais.</x:v>
      </x:c>
    </x:row>
    <x:row r="30" ht="24" customHeight="1">
      <x:c r="A30" s="1" t="s">
        <x:v>32</x:v>
      </x:c>
      <x:c r="B30" s="1" t="s">
        <x:v>20</x:v>
      </x:c>
      <x:c r="C30" s="1" t="s">
        <x:v>33</x:v>
      </x:c>
    </x:row>
    <x:row r="31" ht="27.600000381469727">
      <x:c r="A31" s="2" t="s">
        <x:v>34</x:v>
      </x:c>
      <x:c r="B31" s="2" t="s">
        <x:v>35</x:v>
      </x:c>
      <x:c r="C31" s="2" t="s">
        <x:v>36</x:v>
      </x:c>
    </x:row>
    <x:row r="32" ht="27.600000381469727">
      <x:c r="A32" s="2" t="s">
        <x:v>37</x:v>
      </x:c>
      <x:c r="B32" s="2" t="s">
        <x:v>38</x:v>
      </x:c>
      <x:c r="C32" s="2" t="s">
        <x:v>39</x:v>
      </x:c>
    </x:row>
    <x:row r="33" ht="27.600000381469727">
      <x:c r="A33" s="2" t="s">
        <x:v>40</x:v>
      </x:c>
      <x:c r="B33" s="2" t="s">
        <x:v>41</x:v>
      </x:c>
      <x:c r="C33" s="2" t="s">
        <x:v>42</x:v>
      </x:c>
    </x:row>
    <x:row r="34" ht="27.600000381469727">
      <x:c r="A34" s="2" t="s">
        <x:v>43</x:v>
      </x:c>
      <x:c r="B34" s="2" t="s">
        <x:v>44</x:v>
      </x:c>
      <x:c r="C34" s="2" t="s">
        <x:v>45</x:v>
      </x:c>
    </x:row>
    <x:row r="35" ht="27.600000381469727">
      <x:c r="A35" s="2" t="s">
        <x:v>46</x:v>
      </x:c>
      <x:c r="B35" s="2" t="s">
        <x:v>47</x:v>
      </x:c>
      <x:c r="C35" s="2" t="s">
        <x:v>48</x:v>
      </x:c>
    </x:row>
    <x:row r="36" ht="27.600000381469727">
      <x:c r="A36" s="2" t="s">
        <x:v>49</x:v>
      </x:c>
      <x:c r="B36" s="2" t="s">
        <x:v>50</x:v>
      </x:c>
      <x:c r="C36" s="2" t="s">
        <x:v>51</x:v>
      </x:c>
    </x:row>
    <x:row r="37" ht="27.600000381469727">
      <x:c r="A37" s="2" t="s">
        <x:v>52</x:v>
      </x:c>
      <x:c r="B37" s="2" t="s">
        <x:v>53</x:v>
      </x:c>
      <x:c r="C37" s="2" t="s">
        <x:v>54</x:v>
      </x:c>
    </x:row>
    <x:row r="38" ht="27.600000381469727">
      <x:c r="A38" s="2" t="s">
        <x:v>55</x:v>
      </x:c>
      <x:c r="B38" s="2" t="s">
        <x:v>56</x:v>
      </x:c>
      <x:c r="C38" s="2" t="s">
        <x:v>57</x:v>
      </x:c>
    </x:row>
    <x:row r="41" ht="60" customHeight="1">
      <x:c r="A41" s="18" t="str">
        <x:v>Fontes desta sincronização</x:v>
      </x:c>
      <x:c r="B41" s="18" t="str">
        <x:v>Backlog revisado atual e Regras de Negócio Revisadas Consolidada ok, aba Revisão consolidada. Decisões do aluno prevalecem sobre propostas/status antigos.</x:v>
      </x:c>
      <x:c r="C41" s="18"/>
      <x:c r="D41" s="18"/>
      <x:c r="E41" s="18"/>
    </x:row>
    <x:row r="42" ht="60" customHeight="1">
      <x:c r="A42" s="18" t="str">
        <x:v>Cadastro e login</x:v>
      </x:c>
      <x:c r="B42" s="18" t="str">
        <x:v>US60 mantida em EP01 e Sprint 1 como recebido. RN-ID-01/02 consolidadas. RN-ID-03/04 incluídas. Não foi criado RF72.</x:v>
      </x:c>
      <x:c r="C42" s="18"/>
      <x:c r="D42" s="18"/>
      <x:c r="E42" s="18"/>
    </x:row>
    <x:row r="43" ht="60" customHeight="1">
      <x:c r="A43" s="18" t="str">
        <x:v>Pendências reais de RN</x:v>
      </x:c>
      <x:c r="B43" s="18" t="str">
        <x:v>RN-ORC-04, RN-MET-03, RN-MET-04, RN-IMP-01, RN-PRECO-01, RN-CARB-01 e RN-PDF-01 permanecem abertas para suas funcionalidades futuras.</x:v>
      </x:c>
      <x:c r="C43" s="18"/>
      <x:c r="D43" s="18"/>
      <x:c r="E43" s="18"/>
    </x:row>
    <x:row r="44" ht="60" customHeight="1">
      <x:c r="A44" s="18" t="str">
        <x:v>Outras decisões já registradas</x:v>
      </x:c>
      <x:c r="B44" s="18" t="str">
        <x:v>DP-DES-01 (US17), DP-CHK-01 (US57) e DP-DES-02 (US59) preservadas. US47 depende dos desafios ainda pendentes.</x:v>
      </x:c>
      <x:c r="C44" s="18"/>
      <x:c r="D44" s="18"/>
      <x:c r="E44" s="18"/>
    </x:row>
    <x:row r="45" ht="60" customHeight="1">
      <x:c r="A45" s="18" t="str">
        <x:v>Detalhamento ainda necessário</x:v>
      </x:c>
      <x:c r="B45" s="18" t="str">
        <x:v>Ações técnicas/UX nas RN consolidadas não foram convertidas em regras novas. RN-ORC-02 ainda pede detalhamento do vínculo contextual por tipo; RN-PERFIL-01, das preferências visuais globais.</x:v>
      </x:c>
      <x:c r="C45" s="18"/>
      <x:c r="D45" s="18"/>
      <x:c r="E45" s="18"/>
    </x:row>
    <x:row r="46" ht="60" customHeight="1">
      <x:c r="A46" s="18" t="str">
        <x:v>Atenção à sequência, sem mudar sprints</x:v>
      </x:c>
      <x:c r="B46" s="18" t="str">
        <x:v>US44 (Sprint 1) depende de US04 (Sprint 2) para auditoria. No refinamento, resolver a sequência do registro do snapshot antes da reversão, preservando a sprint da consulta ao histórico.</x:v>
      </x:c>
      <x:c r="C46" s="18"/>
      <x:c r="D46" s="18"/>
      <x:c r="E46" s="18"/>
    </x:row>
    <x:row r="47" ht="60" customHeight="1">
      <x:c r="A47" s="18" t="str">
        <x:v>Próxima etapa: rastreabilidade</x:v>
      </x:c>
      <x:c r="B47" s="18" t="str">
        <x:v>Para cada US, derivar critérios dos RFs/RN; identificar telas, componentes, services, types e mocks na arquitetura existente; criar tasks e testes ligados aos critérios. Implementação e evidências ainda não registradas.</x:v>
      </x:c>
      <x:c r="C47" s="18"/>
      <x:c r="D47" s="18"/>
      <x:c r="E47" s="18"/>
    </x:row>
    <x:row r="48" ht="60" customHeight="1">
      <x:c r="A48" s="18" t="str">
        <x:v>Próxima etapa: validações essenciais</x:v>
      </x:c>
      <x:c r="B48" s="18" t="str">
        <x:v>Cobrir caminhos válidos, dados inválidos, limites e regressões. US60: obrigatoriedade, e-mail duplicado, login, primeiro perfil vazio em BRL e distinção do bloqueio local. Não incluir recuperação/exclusão de conta.</x:v>
      </x:c>
      <x:c r="C48" s="18"/>
      <x:c r="D48" s="18"/>
      <x:c r="E48" s="18"/>
    </x:row>
    <x:row r="49" ht="60" customHeight="1">
      <x:c r="A49" s="18" t="str">
        <x:v>Prioridades e sprints</x:v>
      </x:c>
      <x:c r="B49" s="18" t="str">
        <x:v>As prioridades de produto do Backlog e de planejamento da aba Sprints foram preservadas como recebidas. A planilha externa Prioridades_Sprints e demais referências não foram alteradas.</x:v>
      </x:c>
      <x:c r="C49" s="18"/>
      <x:c r="D49" s="18"/>
      <x:c r="E49" s="18"/>
    </x:row>
    <x:row r="50" ht="60" customHeight="1">
      <x:c r="A50" s="18" t="str">
        <x:v>Rastreabilidade de impactos</x:v>
      </x:c>
      <x:c r="B50" s="18" t="str">
        <x:v>A aba RN sincronizadas distingue RF de origem de RF impactado. Impacto futuro não é bloqueio automático da US que fornece dados: por exemplo, score/tendência não bloqueiam métricas/relatórios básicos.</x:v>
      </x:c>
      <x:c r="C50" s="18"/>
      <x:c r="D50" s="18"/>
      <x:c r="E50" s="18"/>
    </x:row>
  </x:sheetData>
  <x:mergeCells>
    <x:mergeCell ref="A1:K1"/>
    <x:mergeCell ref="A2:K2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</x:mergeCells>
  <x:conditionalFormatting sqref="B18:B27">
    <x:cfRule type="expression" dxfId="19" priority="1">
      <x:formula>B18="OK"</x:formula>
    </x:cfRule>
    <x:cfRule type="expression" dxfId="18" priority="2">
      <x:formula>B18="ERRO"</x:formula>
    </x:cfRule>
  </x:conditionalFormatting>
  <x:pageMargins left="0.7" right="0.7" top="0.75" bottom="0.75" header="0.3" footer="0.3"/>
  <x:drawing xmlns:r="http://schemas.openxmlformats.org/officeDocument/2006/relationships" r:id="Rb9182f6405cb47ff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36" customWidth="1"/>
    <x:col min="3" max="3" width="62" customWidth="1"/>
    <x:col min="4" max="4" width="58" customWidth="1"/>
    <x:col min="5" max="5" width="10" customWidth="1"/>
  </x:cols>
  <x:sheetData>
    <x:row r="1" ht="22.350000381469727" customHeight="1">
      <x:c r="A1" s="6" t="s">
        <x:v>58</x:v>
      </x:c>
      <x:c r="B1" s="6"/>
      <x:c r="C1" s="6"/>
      <x:c r="D1" s="6"/>
      <x:c r="E1" s="6"/>
    </x:row>
    <x:row r="2" ht="27.149999618530273" customHeight="1">
      <x:c r="A2" s="7" t="s">
        <x:v>59</x:v>
      </x:c>
      <x:c r="B2" s="7"/>
      <x:c r="C2" s="7"/>
      <x:c r="D2" s="7"/>
      <x:c r="E2" s="7"/>
    </x:row>
    <x:row r="4" ht="24" customHeight="1">
      <x:c r="A4" s="1" t="s">
        <x:v>3</x:v>
      </x:c>
      <x:c r="B4" s="1" t="s">
        <x:v>60</x:v>
      </x:c>
      <x:c r="C4" s="1" t="s">
        <x:v>61</x:v>
      </x:c>
      <x:c r="D4" s="1" t="s">
        <x:v>62</x:v>
      </x:c>
      <x:c r="E4" s="1" t="s">
        <x:v>4</x:v>
      </x:c>
    </x:row>
    <x:row r="5" ht="27.600000381469727">
      <x:c r="A5" s="2" t="s">
        <x:v>63</x:v>
      </x:c>
      <x:c r="B5" s="2" t="s">
        <x:v>6</x:v>
      </x:c>
      <x:c r="C5" s="2" t="s">
        <x:v>64</x:v>
      </x:c>
      <x:c r="D5" s="2" t="str">
        <x:v>US01, US02, US03, US04, US05, US22, US33, US34, US44, US60</x:v>
      </x:c>
      <x:c r="E5" s="2" t="n">
        <x:f>COUNTIFS('Backlog Revisado'!B5:B62,A5)</x:f>
        <x:v>10</x:v>
      </x:c>
    </x:row>
    <x:row r="6" ht="27.600000381469727">
      <x:c r="A6" s="2" t="s">
        <x:v>65</x:v>
      </x:c>
      <x:c r="B6" s="2" t="s">
        <x:v>8</x:v>
      </x:c>
      <x:c r="C6" s="2" t="s">
        <x:v>66</x:v>
      </x:c>
      <x:c r="D6" s="2" t="str">
        <x:v>US06, US07, US09, US29, US40, US45, US52</x:v>
      </x:c>
      <x:c r="E6" s="2" t="n">
        <x:f>COUNTIFS('Backlog Revisado'!B5:B62,A6)</x:f>
        <x:v>7</x:v>
      </x:c>
    </x:row>
    <x:row r="7" ht="27.600000381469727">
      <x:c r="A7" s="2" t="s">
        <x:v>67</x:v>
      </x:c>
      <x:c r="B7" s="2" t="s">
        <x:v>10</x:v>
      </x:c>
      <x:c r="C7" s="2" t="s">
        <x:v>68</x:v>
      </x:c>
      <x:c r="D7" s="2" t="str">
        <x:v>US10, US11, US12, US17, US38, US46, US47, US57, US59</x:v>
      </x:c>
      <x:c r="E7" s="2" t="n">
        <x:f>COUNTIFS('Backlog Revisado'!B5:B62,A7)</x:f>
        <x:v>9</x:v>
      </x:c>
    </x:row>
    <x:row r="8" ht="27.600000381469727">
      <x:c r="A8" s="2" t="s">
        <x:v>69</x:v>
      </x:c>
      <x:c r="B8" s="2" t="s">
        <x:v>12</x:v>
      </x:c>
      <x:c r="C8" s="2" t="s">
        <x:v>70</x:v>
      </x:c>
      <x:c r="D8" s="2" t="str">
        <x:v>US13, US14, US15, US25, US32, US35, US39, US50, US53, US54, US58</x:v>
      </x:c>
      <x:c r="E8" s="2" t="n">
        <x:f>COUNTIFS('Backlog Revisado'!B5:B62,A8)</x:f>
        <x:v>11</x:v>
      </x:c>
    </x:row>
    <x:row r="9" ht="27.600000381469727">
      <x:c r="A9" s="2" t="s">
        <x:v>71</x:v>
      </x:c>
      <x:c r="B9" s="2" t="s">
        <x:v>14</x:v>
      </x:c>
      <x:c r="C9" s="2" t="s">
        <x:v>72</x:v>
      </x:c>
      <x:c r="D9" s="2" t="str">
        <x:v>US27, US28, US31, US51</x:v>
      </x:c>
      <x:c r="E9" s="2" t="n">
        <x:f>COUNTIFS('Backlog Revisado'!B5:B62,A9)</x:f>
        <x:v>4</x:v>
      </x:c>
    </x:row>
    <x:row r="10" ht="27.600000381469727">
      <x:c r="A10" s="2" t="s">
        <x:v>73</x:v>
      </x:c>
      <x:c r="B10" s="2" t="s">
        <x:v>16</x:v>
      </x:c>
      <x:c r="C10" s="2" t="s">
        <x:v>74</x:v>
      </x:c>
      <x:c r="D10" s="2" t="str">
        <x:v>US16, US19, US20, US24, US42, US48, US55</x:v>
      </x:c>
      <x:c r="E10" s="2" t="n">
        <x:f>COUNTIFS('Backlog Revisado'!B5:B62,A10)</x:f>
        <x:v>7</x:v>
      </x:c>
    </x:row>
    <x:row r="11" ht="27.600000381469727">
      <x:c r="A11" s="2" t="s">
        <x:v>75</x:v>
      </x:c>
      <x:c r="B11" s="2" t="s">
        <x:v>17</x:v>
      </x:c>
      <x:c r="C11" s="2" t="s">
        <x:v>76</x:v>
      </x:c>
      <x:c r="D11" s="2" t="str">
        <x:v>US18, US21, US30, US36, US37, US41, US43</x:v>
      </x:c>
      <x:c r="E11" s="2" t="n">
        <x:f>COUNTIFS('Backlog Revisado'!B5:B62,A11)</x:f>
        <x:v>7</x:v>
      </x:c>
    </x:row>
    <x:row r="12" ht="27.600000381469727">
      <x:c r="A12" s="2" t="s">
        <x:v>77</x:v>
      </x:c>
      <x:c r="B12" s="2" t="s">
        <x:v>18</x:v>
      </x:c>
      <x:c r="C12" s="2" t="s">
        <x:v>78</x:v>
      </x:c>
      <x:c r="D12" s="2" t="str">
        <x:v>US23, US49, US56</x:v>
      </x:c>
      <x:c r="E12" s="2" t="n">
        <x:f>COUNTIFS('Backlog Revisado'!B5:B62,A12)</x:f>
        <x:v>3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47aabd8d8504f92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72" customWidth="1"/>
    <x:col min="3" max="3" width="14" customWidth="1"/>
    <x:col min="4" max="4" width="10" customWidth="1"/>
  </x:cols>
  <x:sheetData>
    <x:row r="1" ht="19.200000762939453">
      <x:c r="A1" s="8" t="s">
        <x:v>79</x:v>
      </x:c>
      <x:c r="B1" s="8"/>
      <x:c r="C1" s="8"/>
      <x:c r="D1" s="8"/>
    </x:row>
    <x:row r="2">
      <x:c r="A2" s="4" t="s">
        <x:v>80</x:v>
      </x:c>
      <x:c r="B2" s="4" t="s">
        <x:v>81</x:v>
      </x:c>
      <x:c r="C2" s="4" t="s">
        <x:v>82</x:v>
      </x:c>
      <x:c r="D2" s="4" t="s">
        <x:v>83</x:v>
      </x:c>
    </x:row>
    <x:row r="3" ht="27.600000381469727">
      <x:c r="A3" s="5" t="s">
        <x:v>84</x:v>
      </x:c>
      <x:c r="B3" s="2" t="s">
        <x:v>85</x:v>
      </x:c>
      <x:c r="C3" s="5" t="s">
        <x:v>86</x:v>
      </x:c>
      <x:c r="D3" s="5">
        <x:v>1</x:v>
      </x:c>
    </x:row>
    <x:row r="4" ht="41.400001525878906">
      <x:c r="A4" s="5" t="s">
        <x:v>87</x:v>
      </x:c>
      <x:c r="B4" s="2" t="s">
        <x:v>88</x:v>
      </x:c>
      <x:c r="C4" s="5" t="s">
        <x:v>86</x:v>
      </x:c>
      <x:c r="D4" s="5">
        <x:v>1</x:v>
      </x:c>
    </x:row>
    <x:row r="5" ht="27.600000381469727">
      <x:c r="A5" s="5" t="s">
        <x:v>89</x:v>
      </x:c>
      <x:c r="B5" s="2" t="s">
        <x:v>90</x:v>
      </x:c>
      <x:c r="C5" s="5" t="s">
        <x:v>86</x:v>
      </x:c>
      <x:c r="D5" s="5">
        <x:v>1</x:v>
      </x:c>
    </x:row>
    <x:row r="6" ht="27.600000381469727">
      <x:c r="A6" s="5" t="s">
        <x:v>91</x:v>
      </x:c>
      <x:c r="B6" s="2" t="s">
        <x:v>92</x:v>
      </x:c>
      <x:c r="C6" s="5" t="s">
        <x:v>93</x:v>
      </x:c>
      <x:c r="D6" s="5">
        <x:v>2</x:v>
      </x:c>
    </x:row>
    <x:row r="7" ht="27.600000381469727">
      <x:c r="A7" s="5" t="s">
        <x:v>94</x:v>
      </x:c>
      <x:c r="B7" s="2" t="s">
        <x:v>95</x:v>
      </x:c>
      <x:c r="C7" s="5" t="s">
        <x:v>86</x:v>
      </x:c>
      <x:c r="D7" s="5">
        <x:v>1</x:v>
      </x:c>
    </x:row>
    <x:row r="8" ht="41.400001525878906">
      <x:c r="A8" s="5" t="s">
        <x:v>96</x:v>
      </x:c>
      <x:c r="B8" s="2" t="s">
        <x:v>97</x:v>
      </x:c>
      <x:c r="C8" s="5" t="s">
        <x:v>86</x:v>
      </x:c>
      <x:c r="D8" s="5">
        <x:v>1</x:v>
      </x:c>
    </x:row>
    <x:row r="9" ht="27.600000381469727">
      <x:c r="A9" s="5" t="s">
        <x:v>98</x:v>
      </x:c>
      <x:c r="B9" s="2" t="s">
        <x:v>99</x:v>
      </x:c>
      <x:c r="C9" s="5" t="s">
        <x:v>93</x:v>
      </x:c>
      <x:c r="D9" s="5">
        <x:v>2</x:v>
      </x:c>
    </x:row>
    <x:row r="10" ht="27.600000381469727">
      <x:c r="A10" s="5" t="s">
        <x:v>100</x:v>
      </x:c>
      <x:c r="B10" s="2" t="s">
        <x:v>101</x:v>
      </x:c>
      <x:c r="C10" s="5" t="s">
        <x:v>93</x:v>
      </x:c>
      <x:c r="D10" s="5">
        <x:v>2</x:v>
      </x:c>
    </x:row>
    <x:row r="11" ht="41.400001525878906">
      <x:c r="A11" s="5" t="s">
        <x:v>34</x:v>
      </x:c>
      <x:c r="B11" s="2" t="s">
        <x:v>102</x:v>
      </x:c>
      <x:c r="C11" s="5" t="s">
        <x:v>86</x:v>
      </x:c>
      <x:c r="D11" s="5">
        <x:v>1</x:v>
      </x:c>
    </x:row>
    <x:row r="12" ht="27.600000381469727">
      <x:c r="A12" s="5" t="s">
        <x:v>103</x:v>
      </x:c>
      <x:c r="B12" s="2" t="s">
        <x:v>104</x:v>
      </x:c>
      <x:c r="C12" s="5" t="s">
        <x:v>105</x:v>
      </x:c>
      <x:c r="D12" s="5">
        <x:v>3</x:v>
      </x:c>
    </x:row>
    <x:row r="13" ht="41.400001525878906">
      <x:c r="A13" s="5" t="s">
        <x:v>106</x:v>
      </x:c>
      <x:c r="B13" s="2" t="s">
        <x:v>107</x:v>
      </x:c>
      <x:c r="C13" s="5" t="s">
        <x:v>86</x:v>
      </x:c>
      <x:c r="D13" s="5">
        <x:v>1</x:v>
      </x:c>
    </x:row>
    <x:row r="14" ht="27.600000381469727">
      <x:c r="A14" s="5" t="s">
        <x:v>108</x:v>
      </x:c>
      <x:c r="B14" s="2" t="s">
        <x:v>109</x:v>
      </x:c>
      <x:c r="C14" s="5" t="s">
        <x:v>86</x:v>
      </x:c>
      <x:c r="D14" s="5">
        <x:v>1</x:v>
      </x:c>
    </x:row>
    <x:row r="15" ht="41.400001525878906">
      <x:c r="A15" s="5" t="s">
        <x:v>40</x:v>
      </x:c>
      <x:c r="B15" s="2" t="s">
        <x:v>110</x:v>
      </x:c>
      <x:c r="C15" s="5" t="s">
        <x:v>93</x:v>
      </x:c>
      <x:c r="D15" s="5">
        <x:v>1</x:v>
      </x:c>
    </x:row>
    <x:row r="16" ht="41.400001525878906">
      <x:c r="A16" s="5" t="s">
        <x:v>111</x:v>
      </x:c>
      <x:c r="B16" s="2" t="s">
        <x:v>112</x:v>
      </x:c>
      <x:c r="C16" s="5" t="s">
        <x:v>86</x:v>
      </x:c>
      <x:c r="D16" s="5">
        <x:v>1</x:v>
      </x:c>
    </x:row>
    <x:row r="17" ht="41.400001525878906">
      <x:c r="A17" s="5" t="s">
        <x:v>43</x:v>
      </x:c>
      <x:c r="B17" s="2" t="s">
        <x:v>113</x:v>
      </x:c>
      <x:c r="C17" s="5" t="s">
        <x:v>93</x:v>
      </x:c>
      <x:c r="D17" s="5">
        <x:v>2</x:v>
      </x:c>
    </x:row>
    <x:row r="18" ht="41.400001525878906">
      <x:c r="A18" s="5" t="s">
        <x:v>37</x:v>
      </x:c>
      <x:c r="B18" s="2" t="s">
        <x:v>114</x:v>
      </x:c>
      <x:c r="C18" s="5" t="s">
        <x:v>93</x:v>
      </x:c>
      <x:c r="D18" s="5">
        <x:v>2</x:v>
      </x:c>
    </x:row>
    <x:row r="19" ht="27.600000381469727">
      <x:c r="A19" s="5" t="s">
        <x:v>115</x:v>
      </x:c>
      <x:c r="B19" s="2" t="s">
        <x:v>116</x:v>
      </x:c>
      <x:c r="C19" s="5" t="s">
        <x:v>93</x:v>
      </x:c>
      <x:c r="D19" s="5">
        <x:v>2</x:v>
      </x:c>
    </x:row>
    <x:row r="20" ht="27.600000381469727">
      <x:c r="A20" s="5" t="s">
        <x:v>46</x:v>
      </x:c>
      <x:c r="B20" s="2" t="s">
        <x:v>117</x:v>
      </x:c>
      <x:c r="C20" s="5" t="s">
        <x:v>93</x:v>
      </x:c>
      <x:c r="D20" s="5">
        <x:v>1</x:v>
      </x:c>
    </x:row>
    <x:row r="21" ht="27.600000381469727">
      <x:c r="A21" s="5" t="s">
        <x:v>118</x:v>
      </x:c>
      <x:c r="B21" s="2" t="s">
        <x:v>119</x:v>
      </x:c>
      <x:c r="C21" s="5" t="s">
        <x:v>93</x:v>
      </x:c>
      <x:c r="D21" s="5">
        <x:v>2</x:v>
      </x:c>
    </x:row>
    <x:row r="22" ht="27.600000381469727">
      <x:c r="A22" s="5" t="s">
        <x:v>120</x:v>
      </x:c>
      <x:c r="B22" s="2" t="s">
        <x:v>121</x:v>
      </x:c>
      <x:c r="C22" s="5" t="s">
        <x:v>93</x:v>
      </x:c>
      <x:c r="D22" s="5">
        <x:v>2</x:v>
      </x:c>
    </x:row>
    <x:row r="23" ht="27.600000381469727">
      <x:c r="A23" s="5" t="s">
        <x:v>122</x:v>
      </x:c>
      <x:c r="B23" s="2" t="s">
        <x:v>123</x:v>
      </x:c>
      <x:c r="C23" s="5" t="s">
        <x:v>105</x:v>
      </x:c>
      <x:c r="D23" s="5">
        <x:v>3</x:v>
      </x:c>
    </x:row>
    <x:row r="24" ht="41.400001525878906">
      <x:c r="A24" s="5" t="s">
        <x:v>49</x:v>
      </x:c>
      <x:c r="B24" s="2" t="s">
        <x:v>124</x:v>
      </x:c>
      <x:c r="C24" s="5" t="s">
        <x:v>105</x:v>
      </x:c>
      <x:c r="D24" s="5">
        <x:v>3</x:v>
      </x:c>
    </x:row>
    <x:row r="25" ht="41.400001525878906">
      <x:c r="A25" s="5" t="s">
        <x:v>125</x:v>
      </x:c>
      <x:c r="B25" s="2" t="s">
        <x:v>126</x:v>
      </x:c>
      <x:c r="C25" s="5" t="s">
        <x:v>86</x:v>
      </x:c>
      <x:c r="D25" s="5">
        <x:v>1</x:v>
      </x:c>
    </x:row>
    <x:row r="26" ht="27.600000381469727">
      <x:c r="A26" s="5" t="s">
        <x:v>127</x:v>
      </x:c>
      <x:c r="B26" s="2" t="s">
        <x:v>128</x:v>
      </x:c>
      <x:c r="C26" s="5" t="s">
        <x:v>93</x:v>
      </x:c>
      <x:c r="D26" s="5">
        <x:v>2</x:v>
      </x:c>
    </x:row>
    <x:row r="27" ht="27.600000381469727">
      <x:c r="A27" s="5" t="s">
        <x:v>129</x:v>
      </x:c>
      <x:c r="B27" s="2" t="s">
        <x:v>130</x:v>
      </x:c>
      <x:c r="C27" s="5" t="s">
        <x:v>93</x:v>
      </x:c>
      <x:c r="D27" s="5">
        <x:v>2</x:v>
      </x:c>
    </x:row>
    <x:row r="28" ht="27.600000381469727">
      <x:c r="A28" s="5" t="s">
        <x:v>131</x:v>
      </x:c>
      <x:c r="B28" s="2" t="s">
        <x:v>132</x:v>
      </x:c>
      <x:c r="C28" s="5" t="s">
        <x:v>105</x:v>
      </x:c>
      <x:c r="D28" s="5">
        <x:v>3</x:v>
      </x:c>
    </x:row>
    <x:row r="29" ht="41.400001525878906">
      <x:c r="A29" s="5" t="s">
        <x:v>133</x:v>
      </x:c>
      <x:c r="B29" s="2" t="s">
        <x:v>134</x:v>
      </x:c>
      <x:c r="C29" s="5" t="s">
        <x:v>86</x:v>
      </x:c>
      <x:c r="D29" s="5">
        <x:v>1</x:v>
      </x:c>
    </x:row>
    <x:row r="30" ht="27.600000381469727">
      <x:c r="A30" s="5" t="s">
        <x:v>135</x:v>
      </x:c>
      <x:c r="B30" s="2" t="s">
        <x:v>136</x:v>
      </x:c>
      <x:c r="C30" s="5" t="s">
        <x:v>105</x:v>
      </x:c>
      <x:c r="D30" s="5">
        <x:v>3</x:v>
      </x:c>
    </x:row>
    <x:row r="31" ht="27.600000381469727">
      <x:c r="A31" s="5" t="s">
        <x:v>137</x:v>
      </x:c>
      <x:c r="B31" s="2" t="s">
        <x:v>138</x:v>
      </x:c>
      <x:c r="C31" s="5" t="s">
        <x:v>93</x:v>
      </x:c>
      <x:c r="D31" s="5">
        <x:v>2</x:v>
      </x:c>
    </x:row>
    <x:row r="32" ht="27.600000381469727">
      <x:c r="A32" s="5" t="s">
        <x:v>139</x:v>
      </x:c>
      <x:c r="B32" s="2" t="s">
        <x:v>140</x:v>
      </x:c>
      <x:c r="C32" s="5" t="s">
        <x:v>93</x:v>
      </x:c>
      <x:c r="D32" s="5">
        <x:v>2</x:v>
      </x:c>
    </x:row>
    <x:row r="33" ht="27.600000381469727">
      <x:c r="A33" s="5" t="s">
        <x:v>141</x:v>
      </x:c>
      <x:c r="B33" s="2" t="s">
        <x:v>142</x:v>
      </x:c>
      <x:c r="C33" s="5" t="s">
        <x:v>105</x:v>
      </x:c>
      <x:c r="D33" s="5">
        <x:v>3</x:v>
      </x:c>
    </x:row>
    <x:row r="34" ht="41.400001525878906">
      <x:c r="A34" s="5" t="s">
        <x:v>52</x:v>
      </x:c>
      <x:c r="B34" s="2" t="s">
        <x:v>143</x:v>
      </x:c>
      <x:c r="C34" s="5" t="s">
        <x:v>105</x:v>
      </x:c>
      <x:c r="D34" s="5">
        <x:v>3</x:v>
      </x:c>
    </x:row>
    <x:row r="35" ht="41.400001525878906">
      <x:c r="A35" s="5" t="s">
        <x:v>144</x:v>
      </x:c>
      <x:c r="B35" s="2" t="s">
        <x:v>145</x:v>
      </x:c>
      <x:c r="C35" s="5" t="s">
        <x:v>93</x:v>
      </x:c>
      <x:c r="D35" s="5">
        <x:v>2</x:v>
      </x:c>
    </x:row>
    <x:row r="36" ht="27.600000381469727">
      <x:c r="A36" s="5" t="s">
        <x:v>146</x:v>
      </x:c>
      <x:c r="B36" s="2" t="s">
        <x:v>147</x:v>
      </x:c>
      <x:c r="C36" s="5" t="s">
        <x:v>105</x:v>
      </x:c>
      <x:c r="D36" s="5">
        <x:v>3</x:v>
      </x:c>
    </x:row>
    <x:row r="37" ht="27.600000381469727">
      <x:c r="A37" s="5" t="s">
        <x:v>148</x:v>
      </x:c>
      <x:c r="B37" s="2" t="s">
        <x:v>149</x:v>
      </x:c>
      <x:c r="C37" s="5" t="s">
        <x:v>86</x:v>
      </x:c>
      <x:c r="D37" s="5">
        <x:v>1</x:v>
      </x:c>
    </x:row>
    <x:row r="38" ht="27.600000381469727">
      <x:c r="A38" s="5" t="s">
        <x:v>55</x:v>
      </x:c>
      <x:c r="B38" s="2" t="s">
        <x:v>150</x:v>
      </x:c>
      <x:c r="C38" s="5" t="s">
        <x:v>93</x:v>
      </x:c>
      <x:c r="D38" s="5">
        <x:v>3</x:v>
      </x:c>
    </x:row>
    <x:row r="39" ht="27.600000381469727">
      <x:c r="A39" s="5" t="s">
        <x:v>151</x:v>
      </x:c>
      <x:c r="B39" s="2" t="s">
        <x:v>152</x:v>
      </x:c>
      <x:c r="C39" s="5" t="s">
        <x:v>105</x:v>
      </x:c>
      <x:c r="D39" s="5">
        <x:v>3</x:v>
      </x:c>
    </x:row>
    <x:row r="40" ht="27.600000381469727">
      <x:c r="A40" s="5" t="s">
        <x:v>153</x:v>
      </x:c>
      <x:c r="B40" s="2" t="s">
        <x:v>154</x:v>
      </x:c>
      <x:c r="C40" s="5" t="s">
        <x:v>86</x:v>
      </x:c>
      <x:c r="D40" s="5">
        <x:v>1</x:v>
      </x:c>
    </x:row>
    <x:row r="41" ht="27.600000381469727">
      <x:c r="A41" s="5" t="s">
        <x:v>155</x:v>
      </x:c>
      <x:c r="B41" s="2" t="s">
        <x:v>156</x:v>
      </x:c>
      <x:c r="C41" s="5" t="s">
        <x:v>105</x:v>
      </x:c>
      <x:c r="D41" s="5">
        <x:v>3</x:v>
      </x:c>
    </x:row>
    <x:row r="42" ht="27.600000381469727">
      <x:c r="A42" s="5" t="s">
        <x:v>157</x:v>
      </x:c>
      <x:c r="B42" s="2" t="s">
        <x:v>158</x:v>
      </x:c>
      <x:c r="C42" s="5" t="s">
        <x:v>93</x:v>
      </x:c>
      <x:c r="D42" s="5">
        <x:v>2</x:v>
      </x:c>
    </x:row>
    <x:row r="43" ht="27.600000381469727">
      <x:c r="A43" s="5" t="s">
        <x:v>159</x:v>
      </x:c>
      <x:c r="B43" s="2" t="s">
        <x:v>160</x:v>
      </x:c>
      <x:c r="C43" s="5" t="s">
        <x:v>105</x:v>
      </x:c>
      <x:c r="D43" s="5">
        <x:v>3</x:v>
      </x:c>
    </x:row>
    <x:row r="44" ht="41.400001525878906">
      <x:c r="A44" s="5" t="s">
        <x:v>161</x:v>
      </x:c>
      <x:c r="B44" s="2" t="s">
        <x:v>162</x:v>
      </x:c>
      <x:c r="C44" s="5" t="s">
        <x:v>86</x:v>
      </x:c>
      <x:c r="D44" s="5">
        <x:v>1</x:v>
      </x:c>
    </x:row>
    <x:row r="45" ht="27.600000381469727">
      <x:c r="A45" s="5" t="s">
        <x:v>163</x:v>
      </x:c>
      <x:c r="B45" s="2" t="s">
        <x:v>164</x:v>
      </x:c>
      <x:c r="C45" s="5" t="s">
        <x:v>93</x:v>
      </x:c>
      <x:c r="D45" s="5">
        <x:v>1</x:v>
      </x:c>
    </x:row>
    <x:row r="46" ht="27.600000381469727">
      <x:c r="A46" s="5" t="s">
        <x:v>165</x:v>
      </x:c>
      <x:c r="B46" s="2" t="s">
        <x:v>166</x:v>
      </x:c>
      <x:c r="C46" s="5" t="s">
        <x:v>93</x:v>
      </x:c>
      <x:c r="D46" s="5">
        <x:v>3</x:v>
      </x:c>
    </x:row>
    <x:row r="47" ht="27.600000381469727">
      <x:c r="A47" s="5" t="s">
        <x:v>167</x:v>
      </x:c>
      <x:c r="B47" s="2" t="s">
        <x:v>168</x:v>
      </x:c>
      <x:c r="C47" s="5" t="s">
        <x:v>105</x:v>
      </x:c>
      <x:c r="D47" s="5">
        <x:v>3</x:v>
      </x:c>
    </x:row>
    <x:row r="48" ht="27.600000381469727">
      <x:c r="A48" s="5" t="s">
        <x:v>169</x:v>
      </x:c>
      <x:c r="B48" s="2" t="s">
        <x:v>170</x:v>
      </x:c>
      <x:c r="C48" s="5" t="s">
        <x:v>93</x:v>
      </x:c>
      <x:c r="D48" s="5">
        <x:v>3</x:v>
      </x:c>
    </x:row>
    <x:row r="49" ht="27.600000381469727">
      <x:c r="A49" s="5" t="s">
        <x:v>171</x:v>
      </x:c>
      <x:c r="B49" s="2" t="s">
        <x:v>172</x:v>
      </x:c>
      <x:c r="C49" s="5" t="s">
        <x:v>105</x:v>
      </x:c>
      <x:c r="D49" s="5">
        <x:v>3</x:v>
      </x:c>
    </x:row>
    <x:row r="50" ht="27.600000381469727">
      <x:c r="A50" s="5" t="s">
        <x:v>173</x:v>
      </x:c>
      <x:c r="B50" s="2" t="s">
        <x:v>174</x:v>
      </x:c>
      <x:c r="C50" s="5" t="s">
        <x:v>93</x:v>
      </x:c>
      <x:c r="D50" s="5">
        <x:v>3</x:v>
      </x:c>
    </x:row>
    <x:row r="51" ht="41.400001525878906">
      <x:c r="A51" s="5" t="s">
        <x:v>175</x:v>
      </x:c>
      <x:c r="B51" s="2" t="s">
        <x:v>176</x:v>
      </x:c>
      <x:c r="C51" s="5" t="s">
        <x:v>93</x:v>
      </x:c>
      <x:c r="D51" s="5">
        <x:v>2</x:v>
      </x:c>
    </x:row>
    <x:row r="52" ht="27.600000381469727">
      <x:c r="A52" s="5" t="s">
        <x:v>177</x:v>
      </x:c>
      <x:c r="B52" s="2" t="s">
        <x:v>178</x:v>
      </x:c>
      <x:c r="C52" s="5" t="s">
        <x:v>93</x:v>
      </x:c>
      <x:c r="D52" s="5">
        <x:v>2</x:v>
      </x:c>
    </x:row>
    <x:row r="53" ht="41.400001525878906">
      <x:c r="A53" s="5" t="s">
        <x:v>179</x:v>
      </x:c>
      <x:c r="B53" s="2" t="s">
        <x:v>180</x:v>
      </x:c>
      <x:c r="C53" s="5" t="s">
        <x:v>93</x:v>
      </x:c>
      <x:c r="D53" s="5">
        <x:v>3</x:v>
      </x:c>
    </x:row>
    <x:row r="54" ht="41.400001525878906">
      <x:c r="A54" s="5" t="s">
        <x:v>181</x:v>
      </x:c>
      <x:c r="B54" s="2" t="s">
        <x:v>182</x:v>
      </x:c>
      <x:c r="C54" s="5" t="s">
        <x:v>93</x:v>
      </x:c>
      <x:c r="D54" s="5">
        <x:v>2</x:v>
      </x:c>
    </x:row>
    <x:row r="55" ht="41.400001525878906">
      <x:c r="A55" s="5" t="s">
        <x:v>183</x:v>
      </x:c>
      <x:c r="B55" s="2" t="s">
        <x:v>184</x:v>
      </x:c>
      <x:c r="C55" s="5" t="s">
        <x:v>105</x:v>
      </x:c>
      <x:c r="D55" s="5">
        <x:v>3</x:v>
      </x:c>
    </x:row>
    <x:row r="56" ht="41.400001525878906">
      <x:c r="A56" s="5" t="s">
        <x:v>185</x:v>
      </x:c>
      <x:c r="B56" s="2" t="s">
        <x:v>186</x:v>
      </x:c>
      <x:c r="C56" s="5" t="s">
        <x:v>105</x:v>
      </x:c>
      <x:c r="D56" s="5">
        <x:v>3</x:v>
      </x:c>
    </x:row>
    <x:row r="57" ht="41.400001525878906">
      <x:c r="A57" s="5" t="s">
        <x:v>187</x:v>
      </x:c>
      <x:c r="B57" s="2" t="s">
        <x:v>188</x:v>
      </x:c>
      <x:c r="C57" s="5" t="s">
        <x:v>93</x:v>
      </x:c>
      <x:c r="D57" s="5">
        <x:v>3</x:v>
      </x:c>
    </x:row>
    <x:row r="58" ht="27.600000381469727">
      <x:c r="A58" s="5" t="s">
        <x:v>189</x:v>
      </x:c>
      <x:c r="B58" s="2" t="s">
        <x:v>190</x:v>
      </x:c>
      <x:c r="C58" s="5" t="s">
        <x:v>93</x:v>
      </x:c>
      <x:c r="D58" s="5">
        <x:v>2</x:v>
      </x:c>
    </x:row>
    <x:row r="59" ht="41.400001525878906">
      <x:c r="A59" s="5" t="s">
        <x:v>191</x:v>
      </x:c>
      <x:c r="B59" s="2" t="s">
        <x:v>192</x:v>
      </x:c>
      <x:c r="C59" s="5" t="s">
        <x:v>93</x:v>
      </x:c>
      <x:c r="D59" s="5">
        <x:v>2</x:v>
      </x:c>
    </x:row>
    <x:row r="60" ht="60" customHeight="1">
      <x:c r="A60" s="22" t="s">
        <x:v>193</x:v>
      </x:c>
      <x:c r="B60" s="22" t="str">
        <x:v>Como usuário, quero criar uma conta e me autenticar no aplicativo para acessar de forma segura meus perfis e dados financeiros.</x:v>
      </x:c>
      <x:c r="C60" s="22" t="s">
        <x:v>86</x:v>
      </x:c>
      <x:c r="D60" s="22">
        <x:v>1</x:v>
      </x:c>
    </x:row>
  </x:sheetData>
  <x:mergeCells>
    <x:mergeCell ref="A1:D1"/>
  </x:mergeCells>
  <x:conditionalFormatting sqref="C3:C60">
    <x:cfRule type="expression" dxfId="17" priority="1">
      <x:formula>C3="Alta"</x:formula>
    </x:cfRule>
    <x:cfRule type="expression" dxfId="16" priority="2">
      <x:formula>C3="Média"</x:formula>
    </x:cfRule>
    <x:cfRule type="expression" dxfId="15" priority="3">
      <x:formula>C3="Baixa"</x:formula>
    </x:cfRule>
  </x:conditionalFormatting>
  <x:conditionalFormatting sqref="D3:D60">
    <x:cfRule type="expression" dxfId="14" priority="4">
      <x:formula>D3=1</x:formula>
    </x:cfRule>
    <x:cfRule type="expression" dxfId="13" priority="5">
      <x:formula>D3=2</x:formula>
    </x:cfRule>
    <x:cfRule type="expression" dxfId="12" priority="6">
      <x:formula>D3=3</x:formula>
    </x:cfRule>
  </x:conditionalFormatting>
  <x:dataValidations count="2">
    <x:dataValidation type="list" sqref="D3:D60">
      <x:formula1>"1,2,3"</x:formula1>
    </x:dataValidation>
    <x:dataValidation type="list" sqref="C3:C60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ff519529bb4c8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3.800000190734863"/>
  <x:cols>
    <x:col min="1" max="2" width="9" customWidth="1"/>
    <x:col min="3" max="3" width="35" customWidth="1"/>
    <x:col min="4" max="4" width="11" customWidth="1"/>
    <x:col min="5" max="5" width="66" customWidth="1"/>
    <x:col min="6" max="6" width="18" customWidth="1"/>
    <x:col min="7" max="7" width="25" customWidth="1"/>
    <x:col min="8" max="8" width="30" customWidth="1"/>
    <x:col min="9" max="9" width="22" customWidth="1"/>
    <x:col min="10" max="10" width="62" customWidth="1"/>
    <x:col min="11" max="11" width="24" customWidth="1"/>
  </x:cols>
  <x:sheetData>
    <x:row r="1" ht="22.350000381469727" customHeight="1">
      <x:c r="A1" s="6" t="s">
        <x:v>194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7.149999618530273" customHeight="1">
      <x:c r="A2" s="7" t="str">
        <x:v>58 User Stories, 71 RFs originais. Sprints preservadas na aba Sprints. RN sincronizadas. Próxima etapa: critérios, componentes, tasks e testes.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4" customHeight="1">
      <x:c r="A4" s="1" t="s">
        <x:v>80</x:v>
      </x:c>
      <x:c r="B4" s="1" t="s">
        <x:v>3</x:v>
      </x:c>
      <x:c r="C4" s="1" t="s">
        <x:v>195</x:v>
      </x:c>
      <x:c r="D4" s="1" t="s">
        <x:v>82</x:v>
      </x:c>
      <x:c r="E4" s="1" t="s">
        <x:v>81</x:v>
      </x:c>
      <x:c r="F4" s="1" t="s">
        <x:v>196</x:v>
      </x:c>
      <x:c r="G4" s="1" t="s">
        <x:v>197</x:v>
      </x:c>
      <x:c r="H4" s="1" t="s">
        <x:v>198</x:v>
      </x:c>
      <x:c r="I4" s="1" t="s">
        <x:v>199</x:v>
      </x:c>
      <x:c r="J4" s="1" t="s">
        <x:v>200</x:v>
      </x:c>
      <x:c r="K4" s="1" t="s">
        <x:v>201</x:v>
      </x:c>
    </x:row>
    <x:row r="5" ht="75" customHeight="1">
      <x:c r="A5" s="2" t="str">
        <x:v>US01</x:v>
      </x:c>
      <x:c r="B5" s="2" t="str">
        <x:v>EP01</x:v>
      </x:c>
      <x:c r="C5" s="2" t="str">
        <x:v>Registro manual de transações</x:v>
      </x:c>
      <x:c r="D5" s="2" t="str">
        <x:v>Alta</x:v>
      </x:c>
      <x:c r="E5" s="2" t="str">
        <x:v>Como usuário, quero registrar manualmente receitas e despesas com valor, data, hora, descrição e categoria para manter meu histórico financeiro atualizado.</x:v>
      </x:c>
      <x:c r="F5" s="2" t="str">
        <x:v>RF01</x:v>
      </x:c>
      <x:c r="G5" s="2" t="str">
        <x:v>Nenhuma (fundação/independente)</x:v>
      </x:c>
      <x:c r="H5" s="2" t="str">
        <x:v>RN-TRANS-01, RN-TRANS-02, RN-ORC-05</x:v>
      </x:c>
      <x:c r="I5" s="10" t="str">
        <x:v>RN consolidadas</x:v>
      </x:c>
      <x:c r="J5" s="2" t="str">
        <x:v>Sem pendência de negócio nas RN vinculadas. Consultar regras e ações de detalhamento na aba RN sincronizadas.</x:v>
      </x:c>
      <x:c r="K5" s="2" t="str">
        <x:v>US01</x:v>
      </x:c>
    </x:row>
    <x:row r="6" ht="75" customHeight="1">
      <x:c r="A6" s="2" t="str">
        <x:v>US02</x:v>
      </x:c>
      <x:c r="B6" s="2" t="str">
        <x:v>EP01</x:v>
      </x:c>
      <x:c r="C6" s="2" t="str">
        <x:v>Detalhamento de transações</x:v>
      </x:c>
      <x:c r="D6" s="2" t="str">
        <x:v>Media</x:v>
      </x:c>
      <x:c r="E6" s="2" t="str">
        <x:v>Como usuário, quero complementar minhas transações com tags, anotações, método de pagamento e classificações aplicáveis para organizá-las e analisá-las com mais contexto.</x:v>
      </x:c>
      <x:c r="F6" s="2" t="str">
        <x:v>RF21, RF36, RF58</x:v>
      </x:c>
      <x:c r="G6" s="2" t="str">
        <x:v>US01</x:v>
      </x:c>
      <x:c r="H6" s="2" t="str">
        <x:v>RN-CAT-02</x:v>
      </x:c>
      <x:c r="I6" s="10" t="str">
        <x:v>RN consolidadas</x:v>
      </x:c>
      <x:c r="J6" s="2" t="str">
        <x:v>Sem pendência de negócio nas RN vinculadas. Consultar regras e ações de detalhamento na aba RN sincronizadas.</x:v>
      </x:c>
      <x:c r="K6" s="2" t="str">
        <x:v>US02</x:v>
      </x:c>
    </x:row>
    <x:row r="7" ht="75" customHeight="1">
      <x:c r="A7" s="2" t="str">
        <x:v>US03</x:v>
      </x:c>
      <x:c r="B7" s="2" t="str">
        <x:v>EP01</x:v>
      </x:c>
      <x:c r="C7" s="2" t="str">
        <x:v>Consulta, busca e filtros de transações</x:v>
      </x:c>
      <x:c r="D7" s="2" t="str">
        <x:v>Alta</x:v>
      </x:c>
      <x:c r="E7" s="2" t="str">
        <x:v>Como usuário, quero buscar e filtrar transações por data, categoria, descrição, valor e método de pagamento para localizar registros específicos com rapidez.</x:v>
      </x:c>
      <x:c r="F7" s="2" t="str">
        <x:v>RF13, RF58</x:v>
      </x:c>
      <x:c r="G7" s="2" t="str">
        <x:v>US01, US02</x:v>
      </x:c>
      <x:c r="H7" s="2" t="str">
        <x:v>Nenhuma RN específica</x:v>
      </x:c>
      <x:c r="I7" s="10" t="str">
        <x:v>Sem RN específica</x:v>
      </x:c>
      <x:c r="J7" s="2" t="str">
        <x:v>Sem pendência de negócio nas RN vinculadas. Consultar regras e ações de detalhamento na aba RN sincronizadas.</x:v>
      </x:c>
      <x:c r="K7" s="2" t="str">
        <x:v>US03</x:v>
      </x:c>
    </x:row>
    <x:row r="8" ht="75" customHeight="1">
      <x:c r="A8" s="2" t="str">
        <x:v>US04</x:v>
      </x:c>
      <x:c r="B8" s="2" t="str">
        <x:v>EP01</x:v>
      </x:c>
      <x:c r="C8" s="2" t="str">
        <x:v>Auditoria de transações</x:v>
      </x:c>
      <x:c r="D8" s="2" t="str">
        <x:v>Baixa</x:v>
      </x:c>
      <x:c r="E8" s="2" t="str">
        <x:v>Como usuário, quero consultar o histórico de alterações e exclusões de uma transação para compreender o que foi modificado ao longo do tempo.</x:v>
      </x:c>
      <x:c r="F8" s="2" t="str">
        <x:v>RF23</x:v>
      </x:c>
      <x:c r="G8" s="2" t="str">
        <x:v>US01</x:v>
      </x:c>
      <x:c r="H8" s="2" t="str">
        <x:v>RN-TRANS-03, RN-AUD-01</x:v>
      </x:c>
      <x:c r="I8" s="10" t="str">
        <x:v>RN consolidadas</x:v>
      </x:c>
      <x:c r="J8" s="2" t="str">
        <x:v>Sem pendência de negócio nas RN vinculadas. Consultar regras e ações de detalhamento na aba RN sincronizadas.</x:v>
      </x:c>
      <x:c r="K8" s="2" t="str">
        <x:v>US04</x:v>
      </x:c>
    </x:row>
    <x:row r="9" ht="75" customHeight="1">
      <x:c r="A9" s="2" t="str">
        <x:v>US05</x:v>
      </x:c>
      <x:c r="B9" s="2" t="str">
        <x:v>EP01</x:v>
      </x:c>
      <x:c r="C9" s="2" t="str">
        <x:v>Categorias e subcategorias</x:v>
      </x:c>
      <x:c r="D9" s="2" t="str">
        <x:v>Alta</x:v>
      </x:c>
      <x:c r="E9" s="2" t="str">
        <x:v>Como usuário, quero criar subcategorias personalizadas dentro das categorias principais para organizar meus gastos com mais precisão.</x:v>
      </x:c>
      <x:c r="F9" s="2" t="str">
        <x:v>RF02</x:v>
      </x:c>
      <x:c r="G9" s="2" t="str">
        <x:v>Nenhuma (fundação/independente)</x:v>
      </x:c>
      <x:c r="H9" s="2" t="str">
        <x:v>RN-CAT-01</x:v>
      </x:c>
      <x:c r="I9" s="10" t="str">
        <x:v>RN consolidadas</x:v>
      </x:c>
      <x:c r="J9" s="2" t="str">
        <x:v>Sem pendência de negócio nas RN vinculadas. Consultar regras e ações de detalhamento na aba RN sincronizadas.</x:v>
      </x:c>
      <x:c r="K9" s="2" t="str">
        <x:v>US05</x:v>
      </x:c>
    </x:row>
    <x:row r="10" ht="75" customHeight="1">
      <x:c r="A10" s="2" t="str">
        <x:v>US06</x:v>
      </x:c>
      <x:c r="B10" s="2" t="str">
        <x:v>EP02</x:v>
      </x:c>
      <x:c r="C10" s="2" t="str">
        <x:v>Orçamento mensal por categoria</x:v>
      </x:c>
      <x:c r="D10" s="2" t="str">
        <x:v>Alta</x:v>
      </x:c>
      <x:c r="E10" s="2" t="str">
        <x:v>Como usuário, quero definir limites mensais por categoria, inclusive para gastos com serviços digitais, e visualizar alertas ao me aproximar ou exceder esses limites para controlar meu orçamento.</x:v>
      </x:c>
      <x:c r="F10" s="2" t="str">
        <x:v>RF03, RF24</x:v>
      </x:c>
      <x:c r="G10" s="2" t="str">
        <x:v>US01, US05</x:v>
      </x:c>
      <x:c r="H10" s="2" t="str">
        <x:v>RN-ORC-01, RN-ORC-02</x:v>
      </x:c>
      <x:c r="I10" s="10" t="str">
        <x:v>RN consolidadas</x:v>
      </x:c>
      <x:c r="J10" s="2" t="str">
        <x:v>Sem pendência de negócio nas RN vinculadas. Consultar regras e ações de detalhamento na aba RN sincronizadas.</x:v>
      </x:c>
      <x:c r="K10" s="2" t="str">
        <x:v>US06, US08</x:v>
      </x:c>
    </x:row>
    <x:row r="11" ht="75" customHeight="1">
      <x:c r="A11" s="2" t="str">
        <x:v>US07</x:v>
      </x:c>
      <x:c r="B11" s="2" t="str">
        <x:v>EP02</x:v>
      </x:c>
      <x:c r="C11" s="2" t="str">
        <x:v>Orçamentos flexíveis, temporários e por evento</x:v>
      </x:c>
      <x:c r="D11" s="2" t="str">
        <x:v>Media</x:v>
      </x:c>
      <x:c r="E11" s="2" t="str">
        <x:v>Como usuário, quero criar orçamentos com períodos flexíveis e temporários, inclusive vinculados a eventos, para planejar gastos fora do ciclo mensal padrão.</x:v>
      </x:c>
      <x:c r="F11" s="2" t="str">
        <x:v>RF34, RF42, RF63</x:v>
      </x:c>
      <x:c r="G11" s="2" t="str">
        <x:v>US06</x:v>
      </x:c>
      <x:c r="H11" s="2" t="str">
        <x:v>RN-ORC-02, RN-ORC-03</x:v>
      </x:c>
      <x:c r="I11" s="10" t="str">
        <x:v>RN consolidadas</x:v>
      </x:c>
      <x:c r="J11" s="2" t="str">
        <x:v>Sem pendência de negócio nas RN vinculadas. Consultar regras e ações de detalhamento na aba RN sincronizadas.</x:v>
      </x:c>
      <x:c r="K11" s="2" t="str">
        <x:v>US07, US08</x:v>
      </x:c>
    </x:row>
    <x:row r="12" ht="75" customHeight="1">
      <x:c r="A12" s="2" t="str">
        <x:v>US09</x:v>
      </x:c>
      <x:c r="B12" s="2" t="str">
        <x:v>EP02</x:v>
      </x:c>
      <x:c r="C12" s="2" t="str">
        <x:v>Orçamento zero-based</x:v>
      </x:c>
      <x:c r="D12" s="2" t="str">
        <x:v>Baixa</x:v>
      </x:c>
      <x:c r="E12" s="2" t="str">
        <x:v>Como usuário, quero distribuir a renda do período entre categorias em um orçamento zero para dar destino a todo o valor planejado.</x:v>
      </x:c>
      <x:c r="F12" s="2" t="str">
        <x:v>RF46</x:v>
      </x:c>
      <x:c r="G12" s="2" t="str">
        <x:v>US01, US05</x:v>
      </x:c>
      <x:c r="H12" s="2" t="str">
        <x:v>RN-ORC-04</x:v>
      </x:c>
      <x:c r="I12" s="11" t="str">
        <x:v>RN pendente</x:v>
      </x:c>
      <x:c r="J12" s="2" t="str">
        <x:v>RN-ORC-04: Definir o período padrão do orçamento zero e se a diferença bloqueia a finalização ou apenas gera alerta.</x:v>
      </x:c>
      <x:c r="K12" s="2" t="str">
        <x:v>US09</x:v>
      </x:c>
    </x:row>
    <x:row r="13" ht="75" customHeight="1">
      <x:c r="A13" s="2" t="str">
        <x:v>US10</x:v>
      </x:c>
      <x:c r="B13" s="2" t="str">
        <x:v>EP03</x:v>
      </x:c>
      <x:c r="C13" s="2" t="str">
        <x:v>Metas de economia</x:v>
      </x:c>
      <x:c r="D13" s="2" t="str">
        <x:v>Media</x:v>
      </x:c>
      <x:c r="E13" s="2" t="str">
        <x:v>Como usuário, quero criar e acompanhar metas de economia com valor-alvo, data-limite e sugestão de economia diária ou semanal para planejar meus objetivos financeiros.</x:v>
      </x:c>
      <x:c r="F13" s="2" t="str">
        <x:v>RF04</x:v>
      </x:c>
      <x:c r="G13" s="2" t="str">
        <x:v>Nenhuma (fundação/independente)</x:v>
      </x:c>
      <x:c r="H13" s="2" t="str">
        <x:v>RN-META-01, RN-META-02</x:v>
      </x:c>
      <x:c r="I13" s="10" t="str">
        <x:v>RN consolidadas</x:v>
      </x:c>
      <x:c r="J13" s="2" t="str">
        <x:v>Sem pendência de negócio nas RN vinculadas. Consultar regras e ações de detalhamento na aba RN sincronizadas.</x:v>
      </x:c>
      <x:c r="K13" s="2" t="str">
        <x:v>US10</x:v>
      </x:c>
    </x:row>
    <x:row r="14" ht="75" customHeight="1">
      <x:c r="A14" s="2" t="str">
        <x:v>US11</x:v>
      </x:c>
      <x:c r="B14" s="2" t="str">
        <x:v>EP03</x:v>
      </x:c>
      <x:c r="C14" s="2" t="str">
        <x:v>Compartilhamento de metas</x:v>
      </x:c>
      <x:c r="D14" s="2" t="str">
        <x:v>Baixa</x:v>
      </x:c>
      <x:c r="E14" s="2" t="str">
        <x:v>Como usuário, quero compartilhar o progresso das minhas metas com contatos selecionados para obter apoio e motivação.</x:v>
      </x:c>
      <x:c r="F14" s="2" t="str">
        <x:v>RF30</x:v>
      </x:c>
      <x:c r="G14" s="2" t="str">
        <x:v>US10</x:v>
      </x:c>
      <x:c r="H14" s="2" t="str">
        <x:v>Nenhuma RN específica</x:v>
      </x:c>
      <x:c r="I14" s="10" t="str">
        <x:v>Sem RN específica</x:v>
      </x:c>
      <x:c r="J14" s="2" t="str">
        <x:v>Sem pendência de negócio nas RN vinculadas. Consultar regras e ações de detalhamento na aba RN sincronizadas.</x:v>
      </x:c>
      <x:c r="K14" s="2" t="str">
        <x:v>US11</x:v>
      </x:c>
    </x:row>
    <x:row r="15" ht="75" customHeight="1">
      <x:c r="A15" s="2" t="str">
        <x:v>US12</x:v>
      </x:c>
      <x:c r="B15" s="2" t="str">
        <x:v>EP03</x:v>
      </x:c>
      <x:c r="C15" s="2" t="str">
        <x:v>Reflexão antes da compra</x:v>
      </x:c>
      <x:c r="D15" s="2" t="str">
        <x:v>Baixa</x:v>
      </x:c>
      <x:c r="E15" s="2" t="str">
        <x:v>Como usuário, quero usar mecanismos de reflexão antes de comprar, incluindo período de espera e pergunta ao registrar uma compra não essencial, para reduzir decisões impulsivas.</x:v>
      </x:c>
      <x:c r="F15" s="2" t="str">
        <x:v>RF05, RF70</x:v>
      </x:c>
      <x:c r="G15" s="2" t="str">
        <x:v>US01, US02</x:v>
      </x:c>
      <x:c r="H15" s="2" t="str">
        <x:v>RN-CAT-02, RN-REF-01, RN-REF-03</x:v>
      </x:c>
      <x:c r="I15" s="10" t="str">
        <x:v>RN consolidadas</x:v>
      </x:c>
      <x:c r="J15" s="2" t="str">
        <x:v>Sem pendência de negócio nas RN vinculadas. Consultar regras e ações de detalhamento na aba RN sincronizadas.</x:v>
      </x:c>
      <x:c r="K15" s="2" t="str">
        <x:v>US12</x:v>
      </x:c>
    </x:row>
    <x:row r="16" ht="75" customHeight="1">
      <x:c r="A16" s="2" t="str">
        <x:v>US13</x:v>
      </x:c>
      <x:c r="B16" s="2" t="str">
        <x:v>EP04</x:v>
      </x:c>
      <x:c r="C16" s="2" t="str">
        <x:v>Relatórios gráficos de gastos</x:v>
      </x:c>
      <x:c r="D16" s="2" t="str">
        <x:v>Alta</x:v>
      </x:c>
      <x:c r="E16" s="2" t="str">
        <x:v>Como usuário, quero visualizar gráficos de gastos por categoria e período para compreender a distribuição das minhas despesas.</x:v>
      </x:c>
      <x:c r="F16" s="2" t="str">
        <x:v>RF06</x:v>
      </x:c>
      <x:c r="G16" s="2" t="str">
        <x:v>US01, US05</x:v>
      </x:c>
      <x:c r="H16" s="2" t="str">
        <x:v>Nenhuma RN específica</x:v>
      </x:c>
      <x:c r="I16" s="10" t="str">
        <x:v>Sem RN específica</x:v>
      </x:c>
      <x:c r="J16" s="2" t="str">
        <x:v>Sem pendência de negócio nas RN vinculadas. Consultar regras e ações de detalhamento na aba RN sincronizadas.</x:v>
      </x:c>
      <x:c r="K16" s="2" t="str">
        <x:v>US13</x:v>
      </x:c>
    </x:row>
    <x:row r="17" ht="75" customHeight="1">
      <x:c r="A17" s="2" t="str">
        <x:v>US14</x:v>
      </x:c>
      <x:c r="B17" s="2" t="str">
        <x:v>EP04</x:v>
      </x:c>
      <x:c r="C17" s="2" t="str">
        <x:v>Exportação de dados financeiros</x:v>
      </x:c>
      <x:c r="D17" s="2" t="str">
        <x:v>Media</x:v>
      </x:c>
      <x:c r="E17" s="2" t="str">
        <x:v>Como usuário, quero exportar meus dados financeiros em CSV e em formato compatível com Excel para analisá-los externamente ou manter uma cópia das informações.</x:v>
      </x:c>
      <x:c r="F17" s="2" t="str">
        <x:v>RF07, RF28</x:v>
      </x:c>
      <x:c r="G17" s="2" t="str">
        <x:v>US01</x:v>
      </x:c>
      <x:c r="H17" s="2" t="str">
        <x:v>Nenhuma RN específica</x:v>
      </x:c>
      <x:c r="I17" s="10" t="str">
        <x:v>Sem RN específica</x:v>
      </x:c>
      <x:c r="J17" s="2" t="str">
        <x:v>Sem pendência de negócio nas RN vinculadas. Consultar regras e ações de detalhamento na aba RN sincronizadas.</x:v>
      </x:c>
      <x:c r="K17" s="2" t="str">
        <x:v>US14</x:v>
      </x:c>
    </x:row>
    <x:row r="18" ht="75" customHeight="1">
      <x:c r="A18" s="2" t="str">
        <x:v>US15</x:v>
      </x:c>
      <x:c r="B18" s="2" t="str">
        <x:v>EP04</x:v>
      </x:c>
      <x:c r="C18" s="2" t="str">
        <x:v>Dashboard financeiro</x:v>
      </x:c>
      <x:c r="D18" s="2" t="str">
        <x:v>Alta</x:v>
      </x:c>
      <x:c r="E18" s="2" t="str">
        <x:v>Como usuário, quero visualizar saldo, gastos do mês, progresso das metas e comparação com o mês anterior em um painel para entender rapidamente minha situação financeira.</x:v>
      </x:c>
      <x:c r="F18" s="2" t="str">
        <x:v>RF08</x:v>
      </x:c>
      <x:c r="G18" s="2" t="str">
        <x:v>US01, US10</x:v>
      </x:c>
      <x:c r="H18" s="2" t="str">
        <x:v>RN-TRANS-01, RN-META-01</x:v>
      </x:c>
      <x:c r="I18" s="10" t="str">
        <x:v>RN consolidadas</x:v>
      </x:c>
      <x:c r="J18" s="2" t="str">
        <x:v>Sem pendência de negócio nas RN vinculadas. Consultar regras e ações de detalhamento na aba RN sincronizadas.</x:v>
      </x:c>
      <x:c r="K18" s="2" t="str">
        <x:v>US15</x:v>
      </x:c>
    </x:row>
    <x:row r="19" ht="75" customHeight="1">
      <x:c r="A19" s="2" t="str">
        <x:v>US16</x:v>
      </x:c>
      <x:c r="B19" s="2" t="str">
        <x:v>EP06</x:v>
      </x:c>
      <x:c r="C19" s="2" t="str">
        <x:v>Lembretes inteligentes de transações</x:v>
      </x:c>
      <x:c r="D19" s="2" t="str">
        <x:v>Baixa</x:v>
      </x:c>
      <x:c r="E19" s="2" t="str">
        <x:v>Como usuário, quero receber lembretes push para registrar transações possivelmente esquecidas, com base no meu histórico de gastos ou em horários predefinidos, para reduzir omissões no controle financeiro.</x:v>
      </x:c>
      <x:c r="F19" s="2" t="str">
        <x:v>RF09</x:v>
      </x:c>
      <x:c r="G19" s="2" t="str">
        <x:v>US01</x:v>
      </x:c>
      <x:c r="H19" s="2" t="str">
        <x:v>RN-NOT-01</x:v>
      </x:c>
      <x:c r="I19" s="10" t="str">
        <x:v>RN consolidadas</x:v>
      </x:c>
      <x:c r="J19" s="2" t="str">
        <x:v>Sem pendência de negócio nas RN vinculadas. Consultar regras e ações de detalhamento na aba RN sincronizadas.</x:v>
      </x:c>
      <x:c r="K19" s="2" t="str">
        <x:v>US16</x:v>
      </x:c>
    </x:row>
    <x:row r="20" ht="75" customHeight="1">
      <x:c r="A20" s="2" t="str">
        <x:v>US17</x:v>
      </x:c>
      <x:c r="B20" s="2" t="str">
        <x:v>EP03</x:v>
      </x:c>
      <x:c r="C20" s="2" t="str">
        <x:v>Desafio de economia</x:v>
      </x:c>
      <x:c r="D20" s="2" t="str">
        <x:v>Baixa</x:v>
      </x:c>
      <x:c r="E20" s="2" t="str">
        <x:v>Como usuário, quero participar de um desafio de economia com período e valor-alvo definidos, acompanhando meu progresso e recebendo mensagens de incentivo para desenvolver o hábito de economizar.</x:v>
      </x:c>
      <x:c r="F20" s="2" t="str">
        <x:v>RF10</x:v>
      </x:c>
      <x:c r="G20" s="2" t="str">
        <x:v>Nenhuma dependência funcional definida</x:v>
      </x:c>
      <x:c r="H20" s="2" t="str">
        <x:v>DP-DES-01</x:v>
      </x:c>
      <x:c r="I20" s="11" t="str">
        <x:v>Decisão pendente</x:v>
      </x:c>
      <x:c r="J20" s="2" t="str">
        <x:v>DP-DES-01: Definir como o progresso do desafio de economia será atualizado, sem assumir vínculo com metas ou transações antes de decisão formal.</x:v>
      </x:c>
      <x:c r="K20" s="2" t="str">
        <x:v>US17</x:v>
      </x:c>
    </x:row>
    <x:row r="21" ht="75" customHeight="1">
      <x:c r="A21" s="2" t="str">
        <x:v>US18</x:v>
      </x:c>
      <x:c r="B21" s="2" t="str">
        <x:v>EP07</x:v>
      </x:c>
      <x:c r="C21" s="2" t="str">
        <x:v>Perfis financeiros múltiplos</x:v>
      </x:c>
      <x:c r="D21" s="2" t="str">
        <x:v>Media</x:v>
      </x:c>
      <x:c r="E21" s="2" t="str">
        <x:v>Como usuário, quero manter e alternar entre perfis financeiros separados para administrar diferentes contextos de finanças.</x:v>
      </x:c>
      <x:c r="F21" s="2" t="str">
        <x:v>RF11</x:v>
      </x:c>
      <x:c r="G21" s="2" t="str">
        <x:v>US60</x:v>
      </x:c>
      <x:c r="H21" s="2" t="str">
        <x:v>RN-PERFIL-01, RN-PERFIL-02, RN-ID-01</x:v>
      </x:c>
      <x:c r="I21" s="10" t="str">
        <x:v>RN consolidadas</x:v>
      </x:c>
      <x:c r="J21" s="2" t="str">
        <x:v>Sem pendência de negócio nas RN vinculadas. Consultar regras e ações de detalhamento na aba RN sincronizadas.</x:v>
      </x:c>
      <x:c r="K21" s="2" t="str">
        <x:v>US18</x:v>
      </x:c>
    </x:row>
    <x:row r="22" ht="75" customHeight="1">
      <x:c r="A22" s="2" t="str">
        <x:v>US19</x:v>
      </x:c>
      <x:c r="B22" s="2" t="str">
        <x:v>EP06</x:v>
      </x:c>
      <x:c r="C22" s="2" t="str">
        <x:v>Anexo de recibo à despesa</x:v>
      </x:c>
      <x:c r="D22" s="2" t="str">
        <x:v>Media</x:v>
      </x:c>
      <x:c r="E22" s="2" t="str">
        <x:v>Como usuário, quero anexar uma foto do recibo ao registrar uma despesa usando a câmera do dispositivo para manter um comprovante associado à transação.</x:v>
      </x:c>
      <x:c r="F22" s="2" t="str">
        <x:v>RF12</x:v>
      </x:c>
      <x:c r="G22" s="2" t="str">
        <x:v>US01</x:v>
      </x:c>
      <x:c r="H22" s="2" t="str">
        <x:v>Nenhuma RN específica</x:v>
      </x:c>
      <x:c r="I22" s="10" t="str">
        <x:v>Sem RN específica</x:v>
      </x:c>
      <x:c r="J22" s="2" t="str">
        <x:v>Sem pendência de negócio nas RN vinculadas. Consultar regras e ações de detalhamento na aba RN sincronizadas.</x:v>
      </x:c>
      <x:c r="K22" s="2" t="str">
        <x:v>US19</x:v>
      </x:c>
    </x:row>
    <x:row r="23" ht="75" customHeight="1">
      <x:c r="A23" s="2" t="str">
        <x:v>US20</x:v>
      </x:c>
      <x:c r="B23" s="2" t="str">
        <x:v>EP06</x:v>
      </x:c>
      <x:c r="C23" s="2" t="str">
        <x:v>Regras de automação de classificação</x:v>
      </x:c>
      <x:c r="D23" s="2" t="str">
        <x:v>Media</x:v>
      </x:c>
      <x:c r="E23" s="2" t="str">
        <x:v>Como usuário, quero criar regras explícitas de automação para classificar atributos das transações e reduzir tarefas repetitivas.</x:v>
      </x:c>
      <x:c r="F23" s="2" t="str">
        <x:v>RF15</x:v>
      </x:c>
      <x:c r="G23" s="2" t="str">
        <x:v>US01, US05</x:v>
      </x:c>
      <x:c r="H23" s="2" t="str">
        <x:v>RN-CAT-02, RN-CAT-03</x:v>
      </x:c>
      <x:c r="I23" s="10" t="str">
        <x:v>RN consolidadas</x:v>
      </x:c>
      <x:c r="J23" s="2" t="str">
        <x:v>Sem pendência de negócio nas RN vinculadas. Consultar regras e ações de detalhamento na aba RN sincronizadas.</x:v>
      </x:c>
      <x:c r="K23" s="2" t="str">
        <x:v>US20</x:v>
      </x:c>
    </x:row>
    <x:row r="24" ht="75" customHeight="1">
      <x:c r="A24" s="2" t="str">
        <x:v>US21</x:v>
      </x:c>
      <x:c r="B24" s="2" t="str">
        <x:v>EP07</x:v>
      </x:c>
      <x:c r="C24" s="2" t="str">
        <x:v>Sincronização entre dispositivos</x:v>
      </x:c>
      <x:c r="D24" s="2" t="str">
        <x:v>Media</x:v>
      </x:c>
      <x:c r="E24" s="2" t="str">
        <x:v>Como usuário, quero sincronizar meus dados financeiros entre dispositivos para acessar informações consistentes em diferentes aparelhos.</x:v>
      </x:c>
      <x:c r="F24" s="2" t="str">
        <x:v>RF16</x:v>
      </x:c>
      <x:c r="G24" s="2" t="str">
        <x:v>US01, US18, US60</x:v>
      </x:c>
      <x:c r="H24" s="2" t="str">
        <x:v>RN-SYNC-01, RN-ID-01</x:v>
      </x:c>
      <x:c r="I24" s="10" t="str">
        <x:v>RN consolidadas</x:v>
      </x:c>
      <x:c r="J24" s="2" t="str">
        <x:v>Sem pendência de negócio nas RN vinculadas. Consultar regras e ações de detalhamento na aba RN sincronizadas.</x:v>
      </x:c>
      <x:c r="K24" s="2" t="str">
        <x:v>US21</x:v>
      </x:c>
    </x:row>
    <x:row r="25" ht="75" customHeight="1">
      <x:c r="A25" s="2" t="str">
        <x:v>US22</x:v>
      </x:c>
      <x:c r="B25" s="2" t="str">
        <x:v>EP01</x:v>
      </x:c>
      <x:c r="C25" s="2" t="str">
        <x:v>Conversão de moedas</x:v>
      </x:c>
      <x:c r="D25" s="2" t="str">
        <x:v>Baixa</x:v>
      </x:c>
      <x:c r="E25" s="2" t="str">
        <x:v>Como usuário, quero registrar gastos em moedas diferentes e convertê-los para a moeda-base do perfil para manter meus valores comparáveis.</x:v>
      </x:c>
      <x:c r="F25" s="2" t="str">
        <x:v>RF17</x:v>
      </x:c>
      <x:c r="G25" s="2" t="str">
        <x:v>US01, US18</x:v>
      </x:c>
      <x:c r="H25" s="2" t="str">
        <x:v>RN-PERFIL-01, RN-MOEDA-01</x:v>
      </x:c>
      <x:c r="I25" s="10" t="str">
        <x:v>RN consolidadas</x:v>
      </x:c>
      <x:c r="J25" s="2" t="str">
        <x:v>Sem pendência de negócio nas RN vinculadas. Consultar regras e ações de detalhamento na aba RN sincronizadas.</x:v>
      </x:c>
      <x:c r="K25" s="2" t="str">
        <x:v>US22</x:v>
      </x:c>
    </x:row>
    <x:row r="26" ht="75" customHeight="1">
      <x:c r="A26" s="2" t="str">
        <x:v>US23</x:v>
      </x:c>
      <x:c r="B26" s="2" t="str">
        <x:v>EP08</x:v>
      </x:c>
      <x:c r="C26" s="2" t="str">
        <x:v>Conteúdo de educação financeira</x:v>
      </x:c>
      <x:c r="D26" s="2" t="str">
        <x:v>Baixa</x:v>
      </x:c>
      <x:c r="E26" s="2" t="str">
        <x:v>Como usuário, quero acessar pequenos artigos e dicas diárias sobre economia, investimentos e controle de gastos e marcar o que já li para acompanhar meu aprendizado financeiro.</x:v>
      </x:c>
      <x:c r="F26" s="2" t="str">
        <x:v>RF19</x:v>
      </x:c>
      <x:c r="G26" s="2" t="str">
        <x:v>Nenhuma (fundação/independente)</x:v>
      </x:c>
      <x:c r="H26" s="2" t="str">
        <x:v>Nenhuma RN específica</x:v>
      </x:c>
      <x:c r="I26" s="10" t="str">
        <x:v>Sem RN específica</x:v>
      </x:c>
      <x:c r="J26" s="2" t="str">
        <x:v>Sem pendência de negócio nas RN vinculadas. Consultar regras e ações de detalhamento na aba RN sincronizadas.</x:v>
      </x:c>
      <x:c r="K26" s="2" t="str">
        <x:v>US23</x:v>
      </x:c>
    </x:row>
    <x:row r="27" ht="75" customHeight="1">
      <x:c r="A27" s="2" t="str">
        <x:v>US24</x:v>
      </x:c>
      <x:c r="B27" s="2" t="str">
        <x:v>EP06</x:v>
      </x:c>
      <x:c r="C27" s="2" t="str">
        <x:v>Recorrências e lembretes de vencimento</x:v>
      </x:c>
      <x:c r="D27" s="2" t="str">
        <x:v>Media</x:v>
      </x:c>
      <x:c r="E27" s="2" t="str">
        <x:v>Como usuário, quero configurar receitas e despesas recorrentes e lembretes de vencimento associados a transações futuras para automatizar lançamentos e evitar atrasos.</x:v>
      </x:c>
      <x:c r="F27" s="2" t="str">
        <x:v>RF20, RF64</x:v>
      </x:c>
      <x:c r="G27" s="2" t="str">
        <x:v>US01</x:v>
      </x:c>
      <x:c r="H27" s="2" t="str">
        <x:v>RN-TRANS-04, RN-NOT-01, RN-REC-01</x:v>
      </x:c>
      <x:c r="I27" s="10" t="str">
        <x:v>RN consolidadas</x:v>
      </x:c>
      <x:c r="J27" s="2" t="str">
        <x:v>Sem pendência de negócio nas RN vinculadas. Consultar regras e ações de detalhamento na aba RN sincronizadas.</x:v>
      </x:c>
      <x:c r="K27" s="2" t="str">
        <x:v>US24</x:v>
      </x:c>
    </x:row>
    <x:row r="28" ht="75" customHeight="1">
      <x:c r="A28" s="2" t="str">
        <x:v>US25</x:v>
      </x:c>
      <x:c r="B28" s="2" t="str">
        <x:v>EP04</x:v>
      </x:c>
      <x:c r="C28" s="2" t="str">
        <x:v>Métricas financeiras</x:v>
      </x:c>
      <x:c r="D28" s="2" t="str">
        <x:v>Media</x:v>
      </x:c>
      <x:c r="E28" s="2" t="str">
        <x:v>Como usuário, quero visualizar taxa de poupança e saldo médio diário para acompanhar meu desempenho financeiro.</x:v>
      </x:c>
      <x:c r="F28" s="2" t="str">
        <x:v>RF22</x:v>
      </x:c>
      <x:c r="G28" s="2" t="str">
        <x:v>US01</x:v>
      </x:c>
      <x:c r="H28" s="2" t="str">
        <x:v>RN-MET-01, RN-MET-02</x:v>
      </x:c>
      <x:c r="I28" s="10" t="str">
        <x:v>RN consolidadas</x:v>
      </x:c>
      <x:c r="J28" s="2" t="str">
        <x:v>Sem pendência de negócio nas RN vinculadas. Consultar regras e ações de detalhamento na aba RN sincronizadas.</x:v>
      </x:c>
      <x:c r="K28" s="2" t="str">
        <x:v>US25</x:v>
      </x:c>
    </x:row>
    <x:row r="29" ht="75" customHeight="1">
      <x:c r="A29" s="2" t="str">
        <x:v>US27</x:v>
      </x:c>
      <x:c r="B29" s="2" t="str">
        <x:v>EP05</x:v>
      </x:c>
      <x:c r="C29" s="2" t="str">
        <x:v>Simulação de impacto de compras</x:v>
      </x:c>
      <x:c r="D29" s="2" t="str">
        <x:v>Media</x:v>
      </x:c>
      <x:c r="E29" s="2" t="str">
        <x:v>Como usuário, quero simular o impacto de uma compra, inclusive parcelada, no orçamento atual e futuro para avaliar seu comprometimento antes de decidir.</x:v>
      </x:c>
      <x:c r="F29" s="2" t="str">
        <x:v>RF25, RF60</x:v>
      </x:c>
      <x:c r="G29" s="2" t="str">
        <x:v>US06</x:v>
      </x:c>
      <x:c r="H29" s="2" t="str">
        <x:v>RN-TRANS-05</x:v>
      </x:c>
      <x:c r="I29" s="10" t="str">
        <x:v>RN consolidadas</x:v>
      </x:c>
      <x:c r="J29" s="2" t="str">
        <x:v>Sem pendência de negócio nas RN vinculadas. Consultar regras e ações de detalhamento na aba RN sincronizadas.</x:v>
      </x:c>
      <x:c r="K29" s="2" t="str">
        <x:v>US27, US28</x:v>
      </x:c>
    </x:row>
    <x:row r="30" ht="75" customHeight="1">
      <x:c r="A30" s="2" t="str">
        <x:v>US28</x:v>
      </x:c>
      <x:c r="B30" s="2" t="str">
        <x:v>EP05</x:v>
      </x:c>
      <x:c r="C30" s="2" t="str">
        <x:v>Comparação de preço histórico</x:v>
      </x:c>
      <x:c r="D30" s="2" t="str">
        <x:v>Baixa</x:v>
      </x:c>
      <x:c r="E30" s="2" t="str">
        <x:v>Como usuário, quero comparar o preço atual de um produto desejado com sua média histórica para avaliar se o momento de compra é favorável.</x:v>
      </x:c>
      <x:c r="F30" s="2" t="str">
        <x:v>RF66</x:v>
      </x:c>
      <x:c r="G30" s="2" t="str">
        <x:v>Nenhuma (fundação/independente)</x:v>
      </x:c>
      <x:c r="H30" s="2" t="str">
        <x:v>RN-PRECO-01</x:v>
      </x:c>
      <x:c r="I30" s="11" t="str">
        <x:v>RN pendente</x:v>
      </x:c>
      <x:c r="J30" s="2" t="str">
        <x:v>RN-PRECO-01: Decidir: histórico de preços do próprio usuário ou preço de mercado via fonte/API externa; depois definir identificação do produto.</x:v>
      </x:c>
      <x:c r="K30" s="2" t="str">
        <x:v>US28</x:v>
      </x:c>
    </x:row>
    <x:row r="31" ht="75" customHeight="1">
      <x:c r="A31" s="2" t="str">
        <x:v>US29</x:v>
      </x:c>
      <x:c r="B31" s="2" t="str">
        <x:v>EP02</x:v>
      </x:c>
      <x:c r="C31" s="2" t="str">
        <x:v>Limites de gastos e alertas</x:v>
      </x:c>
      <x:c r="D31" s="2" t="str">
        <x:v>Media</x:v>
      </x:c>
      <x:c r="E31" s="2" t="str">
        <x:v>Como usuário, quero definir limite diário e limites por categoria, escolhendo os canais de alerta aplicáveis, para ser avisado quando meus gastos atingirem os valores definidos.</x:v>
      </x:c>
      <x:c r="F31" s="2" t="str">
        <x:v>RF27, RF54</x:v>
      </x:c>
      <x:c r="G31" s="2" t="str">
        <x:v>US01, US05</x:v>
      </x:c>
      <x:c r="H31" s="2" t="str">
        <x:v>RN-NOT-01, RN-NOT-02, RN-LIM-01</x:v>
      </x:c>
      <x:c r="I31" s="10" t="str">
        <x:v>RN consolidadas</x:v>
      </x:c>
      <x:c r="J31" s="2" t="str">
        <x:v>Sem pendência de negócio nas RN vinculadas. Consultar regras e ações de detalhamento na aba RN sincronizadas.</x:v>
      </x:c>
      <x:c r="K31" s="2" t="str">
        <x:v>US29</x:v>
      </x:c>
    </x:row>
    <x:row r="32" ht="75" customHeight="1">
      <x:c r="A32" s="2" t="str">
        <x:v>US30</x:v>
      </x:c>
      <x:c r="B32" s="2" t="str">
        <x:v>EP07</x:v>
      </x:c>
      <x:c r="C32" s="2" t="str">
        <x:v>Personalização visual</x:v>
      </x:c>
      <x:c r="D32" s="2" t="str">
        <x:v>Baixa</x:v>
      </x:c>
      <x:c r="E32" s="2" t="str">
        <x:v>Como usuário, quero usar modo escuro e personalizar cores do tema e dos gráficos para adaptar a interface às minhas preferências.</x:v>
      </x:c>
      <x:c r="F32" s="2" t="str">
        <x:v>RF31, RF50</x:v>
      </x:c>
      <x:c r="G32" s="2" t="str">
        <x:v>Nenhuma (fundação/independente)</x:v>
      </x:c>
      <x:c r="H32" s="2" t="str">
        <x:v>Nenhuma RN específica</x:v>
      </x:c>
      <x:c r="I32" s="10" t="str">
        <x:v>Sem RN específica</x:v>
      </x:c>
      <x:c r="J32" s="2" t="str">
        <x:v>Sem pendência de negócio nas RN vinculadas. Consultar regras e ações de detalhamento na aba RN sincronizadas.</x:v>
      </x:c>
      <x:c r="K32" s="2" t="str">
        <x:v>US30</x:v>
      </x:c>
    </x:row>
    <x:row r="33" ht="75" customHeight="1">
      <x:c r="A33" s="2" t="str">
        <x:v>US31</x:v>
      </x:c>
      <x:c r="B33" s="2" t="str">
        <x:v>EP05</x:v>
      </x:c>
      <x:c r="C33" s="2" t="str">
        <x:v>Juros compostos e custo de oportunidade</x:v>
      </x:c>
      <x:c r="D33" s="2" t="str">
        <x:v>Media</x:v>
      </x:c>
      <x:c r="E33" s="2" t="str">
        <x:v>Como usuário, quero calcular juros compostos e o valor futuro hipotético de um gasto não realizado para comparar cenários de investimento e consumo.</x:v>
      </x:c>
      <x:c r="F33" s="2" t="str">
        <x:v>RF32, RF51</x:v>
      </x:c>
      <x:c r="G33" s="2" t="str">
        <x:v>Nenhuma (fundação/independente)</x:v>
      </x:c>
      <x:c r="H33" s="2" t="str">
        <x:v>RN-CO-01</x:v>
      </x:c>
      <x:c r="I33" s="10" t="str">
        <x:v>RN consolidadas</x:v>
      </x:c>
      <x:c r="J33" s="2" t="str">
        <x:v>Sem pendência de negócio nas RN vinculadas. Consultar regras e ações de detalhamento na aba RN sincronizadas.</x:v>
      </x:c>
      <x:c r="K33" s="2" t="str">
        <x:v>US31, US27</x:v>
      </x:c>
    </x:row>
    <x:row r="34" ht="75" customHeight="1">
      <x:c r="A34" s="2" t="str">
        <x:v>US32</x:v>
      </x:c>
      <x:c r="B34" s="2" t="str">
        <x:v>EP04</x:v>
      </x:c>
      <x:c r="C34" s="2" t="str">
        <x:v>Previsão de saldo e fluxo de caixa</x:v>
      </x:c>
      <x:c r="D34" s="2" t="str">
        <x:v>Media</x:v>
      </x:c>
      <x:c r="E34" s="2" t="str">
        <x:v>Como usuário, quero visualizar a projeção de entradas, saídas e saldo futuro para antecipar meu fluxo de caixa de curto prazo.</x:v>
      </x:c>
      <x:c r="F34" s="2" t="str">
        <x:v>RF14, RF38</x:v>
      </x:c>
      <x:c r="G34" s="2" t="str">
        <x:v>US01, US24</x:v>
      </x:c>
      <x:c r="H34" s="2" t="str">
        <x:v>RN-TRANS-04</x:v>
      </x:c>
      <x:c r="I34" s="10" t="str">
        <x:v>RN consolidadas</x:v>
      </x:c>
      <x:c r="J34" s="2" t="str">
        <x:v>Sem pendência de negócio nas RN vinculadas. Consultar regras e ações de detalhamento na aba RN sincronizadas.</x:v>
      </x:c>
      <x:c r="K34" s="2" t="str">
        <x:v>US32, US26</x:v>
      </x:c>
    </x:row>
    <x:row r="35" ht="75" customHeight="1">
      <x:c r="A35" s="2" t="str">
        <x:v>US33</x:v>
      </x:c>
      <x:c r="B35" s="2" t="str">
        <x:v>EP01</x:v>
      </x:c>
      <x:c r="C35" s="2" t="str">
        <x:v>Finanças compartilhadas</x:v>
      </x:c>
      <x:c r="D35" s="2" t="str">
        <x:v>Baixa</x:v>
      </x:c>
      <x:c r="E35" s="2" t="str">
        <x:v>Como usuário, quero marcar uma transação como compartilhada e distribuir seu valor entre os envolvidos para saber a responsabilidade de cada pessoa.</x:v>
      </x:c>
      <x:c r="F35" s="2" t="str">
        <x:v>RF39</x:v>
      </x:c>
      <x:c r="G35" s="2" t="str">
        <x:v>US01</x:v>
      </x:c>
      <x:c r="H35" s="2" t="str">
        <x:v>RN-COMP-01</x:v>
      </x:c>
      <x:c r="I35" s="10" t="str">
        <x:v>RN consolidadas</x:v>
      </x:c>
      <x:c r="J35" s="2" t="str">
        <x:v>Sem pendência de negócio nas RN vinculadas. Consultar regras e ações de detalhamento na aba RN sincronizadas.</x:v>
      </x:c>
      <x:c r="K35" s="2" t="str">
        <x:v>US33</x:v>
      </x:c>
    </x:row>
    <x:row r="36" ht="75" customHeight="1">
      <x:c r="A36" s="2" t="str">
        <x:v>US34</x:v>
      </x:c>
      <x:c r="B36" s="2" t="str">
        <x:v>EP01</x:v>
      </x:c>
      <x:c r="C36" s="2" t="str">
        <x:v>Gastos por localização e categorização pelo estabelecimento</x:v>
      </x:c>
      <x:c r="D36" s="2" t="str">
        <x:v>Baixa</x:v>
      </x:c>
      <x:c r="E36" s="2" t="str">
        <x:v>Como usuário, quero visualizar um painel de gastos por localização e que o aplicativo utilize o GPS do telefone para categorizar gastos com base no estabelecimento da compra, para organizar e compreender melhor onde meu dinheiro é gasto.</x:v>
      </x:c>
      <x:c r="F36" s="2" t="str">
        <x:v>RF41</x:v>
      </x:c>
      <x:c r="G36" s="2" t="str">
        <x:v>US01</x:v>
      </x:c>
      <x:c r="H36" s="2" t="str">
        <x:v>Nenhuma RN específica</x:v>
      </x:c>
      <x:c r="I36" s="10" t="str">
        <x:v>Sem RN específica</x:v>
      </x:c>
      <x:c r="J36" s="2" t="str">
        <x:v>Sem pendência de negócio nas RN vinculadas. Consultar regras e ações de detalhamento na aba RN sincronizadas.</x:v>
      </x:c>
      <x:c r="K36" s="2" t="str">
        <x:v>US34</x:v>
      </x:c>
    </x:row>
    <x:row r="37" ht="75" customHeight="1">
      <x:c r="A37" s="2" t="str">
        <x:v>US35</x:v>
      </x:c>
      <x:c r="B37" s="2" t="str">
        <x:v>EP04</x:v>
      </x:c>
      <x:c r="C37" s="2" t="str">
        <x:v>Tendências de gastos</x:v>
      </x:c>
      <x:c r="D37" s="2" t="str">
        <x:v>Media</x:v>
      </x:c>
      <x:c r="E37" s="2" t="str">
        <x:v>Como usuário, quero visualizar se meus gastos por categoria estão aumentando, diminuindo ou permanecendo estáveis ao longo do tempo para identificar mudanças de comportamento.</x:v>
      </x:c>
      <x:c r="F37" s="2" t="str">
        <x:v>RF44</x:v>
      </x:c>
      <x:c r="G37" s="2" t="str">
        <x:v>US01, US05</x:v>
      </x:c>
      <x:c r="H37" s="2" t="str">
        <x:v>RN-MET-04</x:v>
      </x:c>
      <x:c r="I37" s="11" t="str">
        <x:v>RN pendente</x:v>
      </x:c>
      <x:c r="J37" s="2" t="str">
        <x:v>RN-MET-04: Definir a comparação usada na tendência e a tolerância percentual para classificar como estável.</x:v>
      </x:c>
      <x:c r="K37" s="2" t="str">
        <x:v>US35</x:v>
      </x:c>
    </x:row>
    <x:row r="38" ht="75" customHeight="1">
      <x:c r="A38" s="2" t="str">
        <x:v>US36</x:v>
      </x:c>
      <x:c r="B38" s="2" t="str">
        <x:v>EP07</x:v>
      </x:c>
      <x:c r="C38" s="2" t="str">
        <x:v>Atalho de acesso rápido</x:v>
      </x:c>
      <x:c r="D38" s="2" t="str">
        <x:v>Baixa</x:v>
      </x:c>
      <x:c r="E38" s="2" t="str">
        <x:v>Como usuário, quero abrir diretamente a tela de nova transação por um atalho na tela inicial do Android para registrar gastos com menos passos.</x:v>
      </x:c>
      <x:c r="F38" s="2" t="str">
        <x:v>RF45</x:v>
      </x:c>
      <x:c r="G38" s="2" t="str">
        <x:v>US01</x:v>
      </x:c>
      <x:c r="H38" s="2" t="str">
        <x:v>Nenhuma RN específica</x:v>
      </x:c>
      <x:c r="I38" s="10" t="str">
        <x:v>Sem RN específica</x:v>
      </x:c>
      <x:c r="J38" s="2" t="str">
        <x:v>Sem pendência de negócio nas RN vinculadas. Consultar regras e ações de detalhamento na aba RN sincronizadas.</x:v>
      </x:c>
      <x:c r="K38" s="2" t="str">
        <x:v>US36</x:v>
      </x:c>
    </x:row>
    <x:row r="39" ht="75" customHeight="1">
      <x:c r="A39" s="2" t="str">
        <x:v>US37</x:v>
      </x:c>
      <x:c r="B39" s="2" t="str">
        <x:v>EP07</x:v>
      </x:c>
      <x:c r="C39" s="2" t="str">
        <x:v>Bloqueio de acesso</x:v>
      </x:c>
      <x:c r="D39" s="2" t="str">
        <x:v>Alta</x:v>
      </x:c>
      <x:c r="E39" s="2" t="str">
        <x:v>Como usuário, quero proteger o acesso local ao aplicativo por biometria ou PIN para manter meus dados financeiros seguros.</x:v>
      </x:c>
      <x:c r="F39" s="2" t="str">
        <x:v>RF48</x:v>
      </x:c>
      <x:c r="G39" s="2" t="str">
        <x:v>Nenhuma (fundação/independente)</x:v>
      </x:c>
      <x:c r="H39" s="2" t="str">
        <x:v>RN-ID-01</x:v>
      </x:c>
      <x:c r="I39" s="10" t="str">
        <x:v>RN consolidadas</x:v>
      </x:c>
      <x:c r="J39" s="2" t="str">
        <x:v>Sem pendência de negócio nas RN vinculadas. Consultar regras e ações de detalhamento na aba RN sincronizadas.</x:v>
      </x:c>
      <x:c r="K39" s="2" t="str">
        <x:v>US37</x:v>
      </x:c>
    </x:row>
    <x:row r="40" ht="75" customHeight="1">
      <x:c r="A40" s="2" t="str">
        <x:v>US38</x:v>
      </x:c>
      <x:c r="B40" s="2" t="str">
        <x:v>EP03</x:v>
      </x:c>
      <x:c r="C40" s="2" t="str">
        <x:v>Diário de consumo</x:v>
      </x:c>
      <x:c r="D40" s="2" t="str">
        <x:v>Baixa</x:v>
      </x:c>
      <x:c r="E40" s="2" t="str">
        <x:v>Como usuário, quero registrar livremente minhas motivações para comprar algo em um diário de consumo para refletir sobre meus hábitos e decisões de compra.</x:v>
      </x:c>
      <x:c r="F40" s="2" t="str">
        <x:v>RF59</x:v>
      </x:c>
      <x:c r="G40" s="2" t="str">
        <x:v>Nenhuma (fundação/independente)</x:v>
      </x:c>
      <x:c r="H40" s="2" t="str">
        <x:v>Nenhuma RN específica</x:v>
      </x:c>
      <x:c r="I40" s="10" t="str">
        <x:v>Sem RN específica</x:v>
      </x:c>
      <x:c r="J40" s="2" t="str">
        <x:v>Sem pendência de negócio nas RN vinculadas. Consultar regras e ações de detalhamento na aba RN sincronizadas.</x:v>
      </x:c>
      <x:c r="K40" s="2" t="str">
        <x:v>US38</x:v>
      </x:c>
    </x:row>
    <x:row r="41" ht="75" customHeight="1">
      <x:c r="A41" s="2" t="str">
        <x:v>US39</x:v>
      </x:c>
      <x:c r="B41" s="2" t="str">
        <x:v>EP04</x:v>
      </x:c>
      <x:c r="C41" s="2" t="str">
        <x:v>Pegada de carbono do consumo</x:v>
      </x:c>
      <x:c r="D41" s="2" t="str">
        <x:v>Baixa</x:v>
      </x:c>
      <x:c r="E41" s="2" t="str">
        <x:v>Como usuário, quero visualizar uma estimativa da pegada de carbono associada aos meus padrões de consumo para compreender seu impacto ambiental.</x:v>
      </x:c>
      <x:c r="F41" s="2" t="str">
        <x:v>RF53</x:v>
      </x:c>
      <x:c r="G41" s="2" t="str">
        <x:v>US01, US05</x:v>
      </x:c>
      <x:c r="H41" s="2" t="str">
        <x:v>RN-CARB-01</x:v>
      </x:c>
      <x:c r="I41" s="11" t="str">
        <x:v>RN pendente</x:v>
      </x:c>
      <x:c r="J41" s="2" t="str">
        <x:v>RN-CARB-01: Escolher fonte dos fatores e metodologia de cálculo.</x:v>
      </x:c>
      <x:c r="K41" s="2" t="str">
        <x:v>US39</x:v>
      </x:c>
    </x:row>
    <x:row r="42" ht="75" customHeight="1">
      <x:c r="A42" s="2" t="str">
        <x:v>US40</x:v>
      </x:c>
      <x:c r="B42" s="2" t="str">
        <x:v>EP02</x:v>
      </x:c>
      <x:c r="C42" s="2" t="str">
        <x:v>Comparação orçado x realizado</x:v>
      </x:c>
      <x:c r="D42" s="2" t="str">
        <x:v>Media</x:v>
      </x:c>
      <x:c r="E42" s="2" t="str">
        <x:v>Como usuário, quero comparar o orçamento planejado com os gastos realizados para identificar desvios e as categorias que mais contribuíram para eles.</x:v>
      </x:c>
      <x:c r="F42" s="2" t="str">
        <x:v>RF55</x:v>
      </x:c>
      <x:c r="G42" s="2" t="str">
        <x:v>US01, US06</x:v>
      </x:c>
      <x:c r="H42" s="2" t="str">
        <x:v>RN-TRANS-03, RN-ORC-02, RN-ORC-05</x:v>
      </x:c>
      <x:c r="I42" s="10" t="str">
        <x:v>RN consolidadas</x:v>
      </x:c>
      <x:c r="J42" s="2" t="str">
        <x:v>Comparação mensal pode ser refinada. Integração futura com orçamento zero depende de RN-ORC-04; não ampliar o escopo da Sprint 1.</x:v>
      </x:c>
      <x:c r="K42" s="2" t="str">
        <x:v>US40</x:v>
      </x:c>
    </x:row>
    <x:row r="43" ht="75" customHeight="1">
      <x:c r="A43" s="2" t="str">
        <x:v>US41</x:v>
      </x:c>
      <x:c r="B43" s="2" t="str">
        <x:v>EP07</x:v>
      </x:c>
      <x:c r="C43" s="2" t="str">
        <x:v>Modo pausa financeira</x:v>
      </x:c>
      <x:c r="D43" s="2" t="str">
        <x:v>Baixa</x:v>
      </x:c>
      <x:c r="E43" s="2" t="str">
        <x:v>Como usuário, quero ativar um modo que permita somente visualização por um período planejado para evitar alterações ou novos registros durante a pausa.</x:v>
      </x:c>
      <x:c r="F43" s="2" t="str">
        <x:v>RF56</x:v>
      </x:c>
      <x:c r="G43" s="2" t="str">
        <x:v>Nenhuma (fundação/independente)</x:v>
      </x:c>
      <x:c r="H43" s="2" t="str">
        <x:v>Nenhuma RN específica</x:v>
      </x:c>
      <x:c r="I43" s="10" t="str">
        <x:v>Sem RN específica</x:v>
      </x:c>
      <x:c r="J43" s="2" t="str">
        <x:v>Sem pendência de negócio nas RN vinculadas. Consultar regras e ações de detalhamento na aba RN sincronizadas.</x:v>
      </x:c>
      <x:c r="K43" s="2" t="str">
        <x:v>US41</x:v>
      </x:c>
    </x:row>
    <x:row r="44" ht="75" customHeight="1">
      <x:c r="A44" s="2" t="str">
        <x:v>US42</x:v>
      </x:c>
      <x:c r="B44" s="2" t="str">
        <x:v>EP06</x:v>
      </x:c>
      <x:c r="C44" s="2" t="str">
        <x:v>Importação de dados financeiros</x:v>
      </x:c>
      <x:c r="D44" s="2" t="str">
        <x:v>Media</x:v>
      </x:c>
      <x:c r="E44" s="2" t="str">
        <x:v>Como usuário, quero importar transações de CSV ou extrato em formato predefinido para evitar o registro manual de informações já existentes.</x:v>
      </x:c>
      <x:c r="F44" s="2" t="str">
        <x:v>RF61</x:v>
      </x:c>
      <x:c r="G44" s="2" t="str">
        <x:v>US01</x:v>
      </x:c>
      <x:c r="H44" s="2" t="str">
        <x:v>RN-IMP-01, RN-IMP-02</x:v>
      </x:c>
      <x:c r="I44" s="11" t="str">
        <x:v>RN pendente</x:v>
      </x:c>
      <x:c r="J44" s="2" t="str">
        <x:v>RN-IMP-01: Depois da definição do modelo de dados, especificar colunas obrigatórias/opcionais, formatos de data e valor, separador e tratamento de linhas inválidas.</x:v>
      </x:c>
      <x:c r="K44" s="2" t="str">
        <x:v>US42</x:v>
      </x:c>
    </x:row>
    <x:row r="45" ht="75" customHeight="1">
      <x:c r="A45" s="2" t="str">
        <x:v>US43</x:v>
      </x:c>
      <x:c r="B45" s="2" t="str">
        <x:v>EP07</x:v>
      </x:c>
      <x:c r="C45" s="2" t="str">
        <x:v>Modo de apresentação e privacidade</x:v>
      </x:c>
      <x:c r="D45" s="2" t="str">
        <x:v>Media</x:v>
      </x:c>
      <x:c r="E45" s="2" t="str">
        <x:v>Como usuário, quero ocultar valores monetários e exibir apenas progresso percentual para apresentar informações financeiras sem expor valores sensíveis.</x:v>
      </x:c>
      <x:c r="F45" s="2" t="str">
        <x:v>RF67</x:v>
      </x:c>
      <x:c r="G45" s="2" t="str">
        <x:v>Nenhuma dependência funcional definida</x:v>
      </x:c>
      <x:c r="H45" s="2" t="str">
        <x:v>Nenhuma RN específica</x:v>
      </x:c>
      <x:c r="I45" s="10" t="str">
        <x:v>Sem RN específica</x:v>
      </x:c>
      <x:c r="J45" s="2" t="str">
        <x:v>Sem pendência de negócio nas RN vinculadas. Consultar regras e ações de detalhamento na aba RN sincronizadas.</x:v>
      </x:c>
      <x:c r="K45" s="2" t="str">
        <x:v>US43</x:v>
      </x:c>
    </x:row>
    <x:row r="46" ht="75" customHeight="1">
      <x:c r="A46" s="2" t="str">
        <x:v>US44</x:v>
      </x:c>
      <x:c r="B46" s="2" t="str">
        <x:v>EP01</x:v>
      </x:c>
      <x:c r="C46" s="2" t="str">
        <x:v>Reversão de transação</x:v>
      </x:c>
      <x:c r="D46" s="2" t="str">
        <x:v>Alta</x:v>
      </x:c>
      <x:c r="E46" s="2" t="str">
        <x:v>Como usuário, quero reverter uma transação registrada por engano sem manter seu efeito nos cálculos, preservando a rastreabilidade da exclusão para corrigir meu histórico com segurança.</x:v>
      </x:c>
      <x:c r="F46" s="2" t="str">
        <x:v>RF40</x:v>
      </x:c>
      <x:c r="G46" s="2" t="str">
        <x:v>US01, US04</x:v>
      </x:c>
      <x:c r="H46" s="2" t="str">
        <x:v>RN-TRANS-03, RN-AUD-01</x:v>
      </x:c>
      <x:c r="I46" s="10" t="str">
        <x:v>RN consolidadas</x:v>
      </x:c>
      <x:c r="J46" s="2" t="str">
        <x:v>Sem pendência de negócio nas RN vinculadas. Consultar regras e ações de detalhamento na aba RN sincronizadas.</x:v>
      </x:c>
      <x:c r="K46" s="2" t="str">
        <x:v>US01</x:v>
      </x:c>
    </x:row>
    <x:row r="47" ht="75" customHeight="1">
      <x:c r="A47" s="2" t="str">
        <x:v>US45</x:v>
      </x:c>
      <x:c r="B47" s="2" t="str">
        <x:v>EP02</x:v>
      </x:c>
      <x:c r="C47" s="2" t="str">
        <x:v>Cota de gastos livres</x:v>
      </x:c>
      <x:c r="D47" s="2" t="str">
        <x:v>Media</x:v>
      </x:c>
      <x:c r="E47" s="2" t="str">
        <x:v>Como usuário, quero definir uma cota mensal de gastos livres sem categorização para manter flexibilidade dentro do meu planejamento.</x:v>
      </x:c>
      <x:c r="F47" s="2" t="str">
        <x:v>RF57</x:v>
      </x:c>
      <x:c r="G47" s="2" t="str">
        <x:v>US01, US06</x:v>
      </x:c>
      <x:c r="H47" s="2" t="str">
        <x:v>RN-ORC-02, RN-ORC-05, RN-TRANS-02</x:v>
      </x:c>
      <x:c r="I47" s="10" t="str">
        <x:v>RN consolidadas</x:v>
      </x:c>
      <x:c r="J47" s="2" t="str">
        <x:v>Sem pendência de negócio nas RN vinculadas. Consultar regras e ações de detalhamento na aba RN sincronizadas.</x:v>
      </x:c>
      <x:c r="K47" s="2" t="str">
        <x:v>US07</x:v>
      </x:c>
    </x:row>
    <x:row r="48" ht="75" customHeight="1">
      <x:c r="A48" s="2" t="str">
        <x:v>US46</x:v>
      </x:c>
      <x:c r="B48" s="2" t="str">
        <x:v>EP03</x:v>
      </x:c>
      <x:c r="C48" s="2" t="str">
        <x:v>Aplicativos gatilho e reflexão</x:v>
      </x:c>
      <x:c r="D48" s="2" t="str">
        <x:v>Baixa</x:v>
      </x:c>
      <x:c r="E48" s="2" t="str">
        <x:v>Como usuário, quero configurar aplicativos gatilho para receber uma pergunta reflexiva quando eu os abrir e reduzir compras por impulso.</x:v>
      </x:c>
      <x:c r="F48" s="2" t="str">
        <x:v>RF18</x:v>
      </x:c>
      <x:c r="G48" s="2" t="str">
        <x:v>Nenhuma (fundação/independente)</x:v>
      </x:c>
      <x:c r="H48" s="2" t="str">
        <x:v>RN-REF-02, RN-NOT-01</x:v>
      </x:c>
      <x:c r="I48" s="10" t="str">
        <x:v>RN consolidadas</x:v>
      </x:c>
      <x:c r="J48" s="2" t="str">
        <x:v>Sem pendência de negócio nas RN vinculadas. Consultar regras e ações de detalhamento na aba RN sincronizadas.</x:v>
      </x:c>
      <x:c r="K48" s="2" t="str">
        <x:v>US12</x:v>
      </x:c>
    </x:row>
    <x:row r="49" ht="75" customHeight="1">
      <x:c r="A49" s="2" t="str">
        <x:v>US47</x:v>
      </x:c>
      <x:c r="B49" s="2" t="str">
        <x:v>EP03</x:v>
      </x:c>
      <x:c r="C49" s="2" t="str">
        <x:v>Conquistas e certificado de desafios</x:v>
      </x:c>
      <x:c r="D49" s="2" t="str">
        <x:v>Baixa</x:v>
      </x:c>
      <x:c r="E49" s="2" t="str">
        <x:v>Como usuário, quero receber distintivos e um certificado quando eu alcançar conquistas ou concluir desafios para registrar e compartilhar meu progresso.</x:v>
      </x:c>
      <x:c r="F49" s="2" t="str">
        <x:v>RF47, RF69</x:v>
      </x:c>
      <x:c r="G49" s="2" t="str">
        <x:v>US17, US59</x:v>
      </x:c>
      <x:c r="H49" s="2" t="str">
        <x:v>Nenhuma RN específica</x:v>
      </x:c>
      <x:c r="I49" s="10" t="str">
        <x:v>Sem RN específica</x:v>
      </x:c>
      <x:c r="J49" s="2" t="str">
        <x:v>Sem RN específica. Depende das decisões DP-DES-01 (US17) e DP-DES-02 (US59) para detalhar conquistas e conclusão dos desafios.</x:v>
      </x:c>
      <x:c r="K49" s="2" t="str">
        <x:v>US17</x:v>
      </x:c>
    </x:row>
    <x:row r="50" ht="75" customHeight="1">
      <x:c r="A50" s="2" t="str">
        <x:v>US48</x:v>
      </x:c>
      <x:c r="B50" s="2" t="str">
        <x:v>EP06</x:v>
      </x:c>
      <x:c r="C50" s="2" t="str">
        <x:v>Sugestão inteligente de categoria</x:v>
      </x:c>
      <x:c r="D50" s="2" t="str">
        <x:v>Media</x:v>
      </x:c>
      <x:c r="E50" s="2" t="str">
        <x:v>Como usuário, quero receber sugestões de categoria com base no meu histórico de descrições semelhantes para categorizar novas despesas com menos esforço.</x:v>
      </x:c>
      <x:c r="F50" s="2" t="str">
        <x:v>RF33</x:v>
      </x:c>
      <x:c r="G50" s="2" t="str">
        <x:v>US01, US05</x:v>
      </x:c>
      <x:c r="H50" s="2" t="str">
        <x:v>RN-CAT-04</x:v>
      </x:c>
      <x:c r="I50" s="10" t="str">
        <x:v>RN consolidadas</x:v>
      </x:c>
      <x:c r="J50" s="2" t="str">
        <x:v>Sem pendência de negócio nas RN vinculadas. Consultar regras e ações de detalhamento na aba RN sincronizadas.</x:v>
      </x:c>
      <x:c r="K50" s="2" t="str">
        <x:v>US20</x:v>
      </x:c>
    </x:row>
    <x:row r="51" ht="75" customHeight="1">
      <x:c r="A51" s="2" t="str">
        <x:v>US49</x:v>
      </x:c>
      <x:c r="B51" s="2" t="str">
        <x:v>EP08</x:v>
      </x:c>
      <x:c r="C51" s="2" t="str">
        <x:v>Jogo de simulação financeira</x:v>
      </x:c>
      <x:c r="D51" s="2" t="str">
        <x:v>Baixa</x:v>
      </x:c>
      <x:c r="E51" s="2" t="str">
        <x:v>Como usuário, quero tomar decisões em cenários financeiros simulados e observar suas consequências para aprender sobre escolhas de consumo.</x:v>
      </x:c>
      <x:c r="F51" s="2" t="str">
        <x:v>RF43</x:v>
      </x:c>
      <x:c r="G51" s="2" t="str">
        <x:v>Nenhuma (fundação/independente)</x:v>
      </x:c>
      <x:c r="H51" s="2" t="str">
        <x:v>Nenhuma RN específica</x:v>
      </x:c>
      <x:c r="I51" s="10" t="str">
        <x:v>Sem RN específica</x:v>
      </x:c>
      <x:c r="J51" s="2" t="str">
        <x:v>Sem pendência de negócio nas RN vinculadas. Consultar regras e ações de detalhamento na aba RN sincronizadas.</x:v>
      </x:c>
      <x:c r="K51" s="2" t="str">
        <x:v>US23</x:v>
      </x:c>
    </x:row>
    <x:row r="52" ht="75" customHeight="1">
      <x:c r="A52" s="2" t="str">
        <x:v>US50</x:v>
      </x:c>
      <x:c r="B52" s="2" t="str">
        <x:v>EP04</x:v>
      </x:c>
      <x:c r="C52" s="2" t="str">
        <x:v>Indicador de saúde financeira</x:v>
      </x:c>
      <x:c r="D52" s="2" t="str">
        <x:v>Media</x:v>
      </x:c>
      <x:c r="E52" s="2" t="str">
        <x:v>Como usuário, quero visualizar uma pontuação de saúde financeira baseada nas métricas definidas pelo produto para entender minha situação geral.</x:v>
      </x:c>
      <x:c r="F52" s="2" t="str">
        <x:v>RF62</x:v>
      </x:c>
      <x:c r="G52" s="2" t="str">
        <x:v>US25</x:v>
      </x:c>
      <x:c r="H52" s="2" t="str">
        <x:v>RN-MET-03, RN-SAUDE-01</x:v>
      </x:c>
      <x:c r="I52" s="11" t="str">
        <x:v>RN pendente</x:v>
      </x:c>
      <x:c r="J52" s="2" t="str">
        <x:v>RN-MET-03: Definir a fórmula do indicador de saúde financeira usando apenas dados existentes: métricas participantes, pesos, escala e faixas de interpretação.</x:v>
      </x:c>
      <x:c r="K52" s="2" t="str">
        <x:v>US25</x:v>
      </x:c>
    </x:row>
    <x:row r="53" ht="75" customHeight="1">
      <x:c r="A53" s="2" t="str">
        <x:v>US51</x:v>
      </x:c>
      <x:c r="B53" s="2" t="str">
        <x:v>EP05</x:v>
      </x:c>
      <x:c r="C53" s="2" t="str">
        <x:v>Planejador de grandes compras</x:v>
      </x:c>
      <x:c r="D53" s="2" t="str">
        <x:v>Media</x:v>
      </x:c>
      <x:c r="E53" s="2" t="str">
        <x:v>Como usuário, quero criar um plano de economia para uma compra de alto valor com parcelas mensais compatíveis com meu orçamento para saber como alcançar esse objetivo.</x:v>
      </x:c>
      <x:c r="F53" s="2" t="str">
        <x:v>RF37</x:v>
      </x:c>
      <x:c r="G53" s="2" t="str">
        <x:v>US06</x:v>
      </x:c>
      <x:c r="H53" s="2" t="str">
        <x:v>Nenhuma RN específica</x:v>
      </x:c>
      <x:c r="I53" s="10" t="str">
        <x:v>Sem RN específica</x:v>
      </x:c>
      <x:c r="J53" s="2" t="str">
        <x:v>Sem pendência de negócio nas RN vinculadas. Consultar regras e ações de detalhamento na aba RN sincronizadas.</x:v>
      </x:c>
      <x:c r="K53" s="2" t="str">
        <x:v>US27</x:v>
      </x:c>
    </x:row>
    <x:row r="54" ht="75" customHeight="1">
      <x:c r="A54" s="2" t="str">
        <x:v>US52</x:v>
      </x:c>
      <x:c r="B54" s="2" t="str">
        <x:v>EP02</x:v>
      </x:c>
      <x:c r="C54" s="2" t="str">
        <x:v>Regras de gastos</x:v>
      </x:c>
      <x:c r="D54" s="2" t="str">
        <x:v>Media</x:v>
      </x:c>
      <x:c r="E54" s="2" t="str">
        <x:v>Como usuário, quero criar regras de gastos baseadas em limites proporcionais e ser alertado quando elas forem violadas para controlar meu comportamento financeiro.</x:v>
      </x:c>
      <x:c r="F54" s="2" t="str">
        <x:v>RF71</x:v>
      </x:c>
      <x:c r="G54" s="2" t="str">
        <x:v>US01, US05</x:v>
      </x:c>
      <x:c r="H54" s="2" t="str">
        <x:v>RN-NOT-01, RN-LIM-01</x:v>
      </x:c>
      <x:c r="I54" s="10" t="str">
        <x:v>RN consolidadas</x:v>
      </x:c>
      <x:c r="J54" s="2" t="str">
        <x:v>Sem pendência de negócio nas RN vinculadas. Consultar regras e ações de detalhamento na aba RN sincronizadas.</x:v>
      </x:c>
      <x:c r="K54" s="2" t="str">
        <x:v>US29</x:v>
      </x:c>
    </x:row>
    <x:row r="55" ht="75" customHeight="1">
      <x:c r="A55" s="2" t="str">
        <x:v>US53</x:v>
      </x:c>
      <x:c r="B55" s="2" t="str">
        <x:v>EP04</x:v>
      </x:c>
      <x:c r="C55" s="2" t="str">
        <x:v>Resumo financeiro mensal em PDF</x:v>
      </x:c>
      <x:c r="D55" s="2" t="str">
        <x:v>Media</x:v>
      </x:c>
      <x:c r="E55" s="2" t="str">
        <x:v>Como usuário, quero configurar e obter um resumo financeiro mensal em formato PDF, com opção de salvar ou compartilhar, para consultar minhas informações financeiras fora do aplicativo.</x:v>
      </x:c>
      <x:c r="F55" s="2" t="str">
        <x:v>RF68</x:v>
      </x:c>
      <x:c r="G55" s="2" t="str">
        <x:v>US01</x:v>
      </x:c>
      <x:c r="H55" s="2" t="str">
        <x:v>RN-PDF-01</x:v>
      </x:c>
      <x:c r="I55" s="11" t="str">
        <x:v>RN pendente</x:v>
      </x:c>
      <x:c r="J55" s="2" t="str">
        <x:v>RN-PDF-01: Definir as seções mínimas do PDF e confirmar se o card mensal aparece automaticamente ou depende de alguma configuração do usuário.</x:v>
      </x:c>
      <x:c r="K55" s="2" t="str">
        <x:v>US14</x:v>
      </x:c>
    </x:row>
    <x:row r="56" ht="75" customHeight="1">
      <x:c r="A56" s="2" t="str">
        <x:v>US54</x:v>
      </x:c>
      <x:c r="B56" s="2" t="str">
        <x:v>EP04</x:v>
      </x:c>
      <x:c r="C56" s="2" t="str">
        <x:v>Resumo semanal por notificação</x:v>
      </x:c>
      <x:c r="D56" s="2" t="str">
        <x:v>Media</x:v>
      </x:c>
      <x:c r="E56" s="2" t="str">
        <x:v>Como usuário, quero receber por notificação push um resumo semanal que destaque meus maiores gastos e o progresso em relação ao orçamento para acompanhar minha situação financeira regularmente.</x:v>
      </x:c>
      <x:c r="F56" s="2" t="str">
        <x:v>RF26</x:v>
      </x:c>
      <x:c r="G56" s="2" t="str">
        <x:v>US01, US06</x:v>
      </x:c>
      <x:c r="H56" s="2" t="str">
        <x:v>RN-NOT-01</x:v>
      </x:c>
      <x:c r="I56" s="10" t="str">
        <x:v>RN consolidadas</x:v>
      </x:c>
      <x:c r="J56" s="2" t="str">
        <x:v>Sem pendência de negócio nas RN vinculadas. Consultar regras e ações de detalhamento na aba RN sincronizadas.</x:v>
      </x:c>
      <x:c r="K56" s="2" t="str">
        <x:v>US16</x:v>
      </x:c>
    </x:row>
    <x:row r="57" ht="75" customHeight="1">
      <x:c r="A57" s="2" t="str">
        <x:v>US55</x:v>
      </x:c>
      <x:c r="B57" s="2" t="str">
        <x:v>EP06</x:v>
      </x:c>
      <x:c r="C57" s="2" t="str">
        <x:v>Digitalização de recibos por OCR</x:v>
      </x:c>
      <x:c r="D57" s="2" t="str">
        <x:v>Baixa</x:v>
      </x:c>
      <x:c r="E57" s="2" t="str">
        <x:v>Como usuário, quero digitalizar um recibo com a câmera e utilizar OCR para extrair automaticamente dados como valor, data e estabelecimento, reduzindo o preenchimento manual da despesa.</x:v>
      </x:c>
      <x:c r="F57" s="2" t="str">
        <x:v>RF29</x:v>
      </x:c>
      <x:c r="G57" s="2" t="str">
        <x:v>US19</x:v>
      </x:c>
      <x:c r="H57" s="2" t="str">
        <x:v>Nenhuma RN específica</x:v>
      </x:c>
      <x:c r="I57" s="10" t="str">
        <x:v>Sem RN específica</x:v>
      </x:c>
      <x:c r="J57" s="2" t="str">
        <x:v>Sem pendência de negócio nas RN vinculadas. Consultar regras e ações de detalhamento na aba RN sincronizadas.</x:v>
      </x:c>
      <x:c r="K57" s="2" t="str">
        <x:v>US19</x:v>
      </x:c>
    </x:row>
    <x:row r="58" ht="75" customHeight="1">
      <x:c r="A58" s="2" t="str">
        <x:v>US56</x:v>
      </x:c>
      <x:c r="B58" s="2" t="str">
        <x:v>EP08</x:v>
      </x:c>
      <x:c r="C58" s="2" t="str">
        <x:v>Feed de notícias financeiras</x:v>
      </x:c>
      <x:c r="D58" s="2" t="str">
        <x:v>Baixa</x:v>
      </x:c>
      <x:c r="E58" s="2" t="str">
        <x:v>Como usuário, quero acessar um feed de artigos relevantes sobre economia e mercado obtidos por uma API de notícias financeiras para acompanhar informações do cenário financeiro.</x:v>
      </x:c>
      <x:c r="F58" s="2" t="str">
        <x:v>RF49</x:v>
      </x:c>
      <x:c r="G58" s="2" t="str">
        <x:v>Nenhuma dependência funcional definida</x:v>
      </x:c>
      <x:c r="H58" s="2" t="str">
        <x:v>Nenhuma RN específica</x:v>
      </x:c>
      <x:c r="I58" s="10" t="str">
        <x:v>Sem RN específica</x:v>
      </x:c>
      <x:c r="J58" s="2" t="str">
        <x:v>Sem pendência de negócio nas RN vinculadas. Consultar regras e ações de detalhamento na aba RN sincronizadas.</x:v>
      </x:c>
      <x:c r="K58" s="2" t="str">
        <x:v>US23</x:v>
      </x:c>
    </x:row>
    <x:row r="59" ht="75" customHeight="1">
      <x:c r="A59" s="2" t="str">
        <x:v>US57</x:v>
      </x:c>
      <x:c r="B59" s="2" t="str">
        <x:v>EP03</x:v>
      </x:c>
      <x:c r="C59" s="2" t="str">
        <x:v>Check-in financeiro e feedback</x:v>
      </x:c>
      <x:c r="D59" s="2" t="str">
        <x:v>Baixa</x:v>
      </x:c>
      <x:c r="E59" s="2" t="str">
        <x:v>Como usuário, quero responder a perguntas sobre meu estado emocional e hábitos de consumo em um check-in financeiro e receber feedback personalizado para refletir sobre meu comportamento.</x:v>
      </x:c>
      <x:c r="F59" s="2" t="str">
        <x:v>RF52</x:v>
      </x:c>
      <x:c r="G59" s="2" t="str">
        <x:v>Nenhuma dependência funcional definida</x:v>
      </x:c>
      <x:c r="H59" s="2" t="str">
        <x:v>DP-CHK-01</x:v>
      </x:c>
      <x:c r="I59" s="11" t="str">
        <x:v>Decisão pendente</x:v>
      </x:c>
      <x:c r="J59" s="2" t="str">
        <x:v>DP-CHK-01: Definir as regras ou fonte usadas para produzir o feedback personalizado, sem inventar lógica não especificada no RF52.</x:v>
      </x:c>
      <x:c r="K59" s="2" t="str">
        <x:v>US38</x:v>
      </x:c>
    </x:row>
    <x:row r="60" ht="75" customHeight="1">
      <x:c r="A60" s="2" t="str">
        <x:v>US58</x:v>
      </x:c>
      <x:c r="B60" s="2" t="str">
        <x:v>EP04</x:v>
      </x:c>
      <x:c r="C60" s="2" t="str">
        <x:v>Taxa de realização de metas</x:v>
      </x:c>
      <x:c r="D60" s="2" t="str">
        <x:v>Media</x:v>
      </x:c>
      <x:c r="E60" s="2" t="str">
        <x:v>Como usuário, quero visualizar a porcentagem de metas de economia cumpridas em um período histórico definido para avaliar minha consistência no alcance de objetivos.</x:v>
      </x:c>
      <x:c r="F60" s="2" t="str">
        <x:v>RF35</x:v>
      </x:c>
      <x:c r="G60" s="2" t="str">
        <x:v>US10</x:v>
      </x:c>
      <x:c r="H60" s="2" t="str">
        <x:v>RN-META-03</x:v>
      </x:c>
      <x:c r="I60" s="10" t="str">
        <x:v>RN consolidadas</x:v>
      </x:c>
      <x:c r="J60" s="2" t="str">
        <x:v>Sem pendência de negócio nas RN vinculadas. Consultar regras e ações de detalhamento na aba RN sincronizadas.</x:v>
      </x:c>
      <x:c r="K60" s="2" t="str">
        <x:v>US10</x:v>
      </x:c>
    </x:row>
    <x:row r="61" ht="75" customHeight="1">
      <x:c r="A61" s="2" t="str">
        <x:v>US59</x:v>
      </x:c>
      <x:c r="B61" s="2" t="str">
        <x:v>EP03</x:v>
      </x:c>
      <x:c r="C61" s="2" t="str">
        <x:v>Desafio de despesas essenciais</x:v>
      </x:c>
      <x:c r="D61" s="2" t="str">
        <x:v>Baixa</x:v>
      </x:c>
      <x:c r="E61" s="2" t="str">
        <x:v>Como usuário, quero participar de um desafio para reduzir gastos em uma categoria específica de despesas essenciais e receber sugestões de alternativas mais econômicas para melhorar meus hábitos de consumo.</x:v>
      </x:c>
      <x:c r="F61" s="2" t="str">
        <x:v>RF65</x:v>
      </x:c>
      <x:c r="G61" s="2" t="str">
        <x:v>US02, US05</x:v>
      </x:c>
      <x:c r="H61" s="2" t="str">
        <x:v>RN-CAT-02, DP-DES-02</x:v>
      </x:c>
      <x:c r="I61" s="11" t="str">
        <x:v>Decisão pendente</x:v>
      </x:c>
      <x:c r="J61" s="2" t="str">
        <x:v>DP-DES-02: Definir a origem das alternativas mais econômicas sugeridas e a regra de avaliação do desafio sem assumir mecanismo não documentado.</x:v>
      </x:c>
      <x:c r="K61" s="2" t="str">
        <x:v>US17</x:v>
      </x:c>
    </x:row>
    <x:row r="62" ht="82" customHeight="1">
      <x:c r="A62" s="22" t="str">
        <x:v>US60</x:v>
      </x:c>
      <x:c r="B62" s="22" t="str">
        <x:v>EP01</x:v>
      </x:c>
      <x:c r="C62" s="22" t="str">
        <x:v>Cadastro e login de usuário</x:v>
      </x:c>
      <x:c r="D62" s="22" t="str">
        <x:v>Alta</x:v>
      </x:c>
      <x:c r="E62" s="22" t="str">
        <x:v>Como usuário, quero criar uma conta e me autenticar no aplicativo para acessar de forma segura meus perfis e dados financeiros.</x:v>
      </x:c>
      <x:c r="F62" s="22" t="str">
        <x:v>Sem RF original explícito</x:v>
      </x:c>
      <x:c r="G62" s="22" t="str">
        <x:v>Nenhuma (fundação/independente)</x:v>
      </x:c>
      <x:c r="H62" s="22" t="str">
        <x:v>RN-ID-01, RN-ID-02, RN-ID-03, RN-ID-04, RN-PERFIL-01, RN-PERFIL-02</x:v>
      </x:c>
      <x:c r="I62" s="10" t="str">
        <x:v>RN consolidadas</x:v>
      </x:c>
      <x:c r="J62" s="22" t="str">
        <x:v>Cadastro/login definido por RN-ID-01 a RN-ID-04. Primeiro perfil automático, vazio, saldo R$0 e moeda BRL. Recuperação e exclusão de conta fora do escopo. RF11/RF16/RF48 são impactos, não origem. Implementação de autenticação/backend ainda é decisão técnica.</x:v>
      </x:c>
      <x:c r="K62" s="22" t="str">
        <x:v>Nova US aprovada; origem nas RN-ID-01 a RN-ID-04</x:v>
      </x:c>
    </x:row>
  </x:sheetData>
  <x:mergeCells>
    <x:mergeCell ref="A1:K1"/>
    <x:mergeCell ref="A2:K2"/>
  </x:mergeCells>
  <x:conditionalFormatting sqref="I5:I64">
    <x:cfRule type="expression" dxfId="11" priority="1">
      <x:formula>OR(I5="RN Pendente/Rever",I5="Decisão Pendente")</x:formula>
    </x:cfRule>
    <x:cfRule type="expression" dxfId="10" priority="2">
      <x:formula>I5="RN a ajustar"</x:formula>
    </x:cfRule>
    <x:cfRule type="expression" dxfId="9" priority="3">
      <x:formula>I5="Sem pendência RN mapeada"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7e433880104ca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3.800000190734863"/>
  <x:cols>
    <x:col min="1" max="2" width="9" customWidth="1"/>
    <x:col min="3" max="3" width="34" customWidth="1"/>
    <x:col min="4" max="4" width="62" customWidth="1"/>
    <x:col min="5" max="5" width="24" hidden="0" customWidth="1"/>
    <x:col min="6" max="6" width="24" hidden="0" customWidth="1"/>
    <x:col min="7" max="7" width="78" customWidth="1"/>
    <x:col min="8" max="8" width="24" customWidth="1"/>
    <x:col min="9" max="9" width="11" customWidth="1"/>
    <x:col min="10" max="10" width="48" customWidth="1"/>
  </x:cols>
  <x:sheetData>
    <x:row r="1" ht="22.350000381469727" customHeight="1">
      <x:c r="A1" s="6" t="s">
        <x:v>202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7.149999618530273" customHeight="1">
      <x:c r="A2" s="7" t="str">
        <x:v>72 vínculos de cobertura preservados; 1 origem aprovada sem RF para US60 e 5 impactos sem cobertura. RF58 mantém cobertura em US02 e US03.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4" customHeight="1">
      <x:c r="A4" s="1" t="s">
        <x:v>80</x:v>
      </x:c>
      <x:c r="B4" s="1" t="s">
        <x:v>3</x:v>
      </x:c>
      <x:c r="C4" s="1" t="s">
        <x:v>195</x:v>
      </x:c>
      <x:c r="D4" s="1" t="s">
        <x:v>81</x:v>
      </x:c>
      <x:c r="E4" s="1" t="s">
        <x:v>203</x:v>
      </x:c>
      <x:c r="F4" s="1" t="s">
        <x:v>204</x:v>
      </x:c>
      <x:c r="G4" s="1" t="s">
        <x:v>205</x:v>
      </x:c>
      <x:c r="H4" s="1" t="s">
        <x:v>197</x:v>
      </x:c>
      <x:c r="I4" s="1" t="s">
        <x:v>82</x:v>
      </x:c>
      <x:c r="J4" s="1" t="s">
        <x:v>206</x:v>
      </x:c>
    </x:row>
    <x:row r="5" ht="41.400001525878906">
      <x:c r="A5" s="2" t="str">
        <x:v>US01</x:v>
      </x:c>
      <x:c r="B5" s="2" t="str">
        <x:v>EP01</x:v>
      </x:c>
      <x:c r="C5" s="2" t="str">
        <x:v>Registro manual de transações</x:v>
      </x:c>
      <x:c r="D5" s="2" t="str">
        <x:v>Como usuário, quero registrar manualmente receitas e despesas com valor, data, hora, descrição e categoria para manter meu histórico financeiro atualizado.</x:v>
      </x:c>
      <x:c r="E5" s="2" t="str">
        <x:v>RF01</x:v>
      </x:c>
      <x:c r="F5" s="2" t="str">
        <x:v>Principal</x:v>
      </x:c>
      <x:c r="G5" s="2" t="str">
        <x:v>O aplicativo deve permitir que o usuário registre manualmente cada transação financeira, categorizando-a entre receitas e despesas, com campos para valor, data, hora e uma descrição detalhada.</x:v>
      </x:c>
      <x:c r="H5" s="2" t="str">
        <x:v>Nenhuma (fundação/independente)</x:v>
      </x:c>
      <x:c r="I5" s="2" t="str">
        <x:v>Alta</x:v>
      </x:c>
      <x:c r="J5" s="2"/>
    </x:row>
    <x:row r="6" ht="41.400001525878906">
      <x:c r="A6" s="2" t="str">
        <x:v>US02</x:v>
      </x:c>
      <x:c r="B6" s="2" t="str">
        <x:v>EP01</x:v>
      </x:c>
      <x:c r="C6" s="2" t="str">
        <x:v>Detalhamento de transações</x:v>
      </x:c>
      <x:c r="D6" s="2" t="str">
        <x:v>Como usuário, quero complementar minhas transações com tags, anotações, método de pagamento e classificações aplicáveis para organizá-las e analisá-las com mais contexto.</x:v>
      </x:c>
      <x:c r="E6" s="2" t="str">
        <x:v>RF21</x:v>
      </x:c>
      <x:c r="F6" s="2" t="str">
        <x:v>Principal</x:v>
      </x:c>
      <x:c r="G6" s="2" t="str">
        <x:v>Um sistema de tags deve ser implementado, permitindo ao usuário marcar transações com palavras-chave (ex: #viagem, #urgente) para uma categorização e busca ainda mais flexíveis.</x:v>
      </x:c>
      <x:c r="H6" s="2" t="str">
        <x:v>US01</x:v>
      </x:c>
      <x:c r="I6" s="2" t="str">
        <x:v>Media</x:v>
      </x:c>
      <x:c r="J6" s="2"/>
    </x:row>
    <x:row r="7" ht="41.400001525878906">
      <x:c r="A7" s="2" t="str">
        <x:v>US02</x:v>
      </x:c>
      <x:c r="B7" s="2" t="str">
        <x:v>EP01</x:v>
      </x:c>
      <x:c r="C7" s="2" t="str">
        <x:v>Detalhamento de transações</x:v>
      </x:c>
      <x:c r="D7" s="2" t="str">
        <x:v>Como usuário, quero complementar minhas transações com tags, anotações, método de pagamento e classificações aplicáveis para organizá-las e analisá-las com mais contexto.</x:v>
      </x:c>
      <x:c r="E7" s="2" t="str">
        <x:v>RF36</x:v>
      </x:c>
      <x:c r="F7" s="2" t="str">
        <x:v>Principal</x:v>
      </x:c>
      <x:c r="G7" s="2" t="str">
        <x:v>O aplicativo deve permitir a inclusão de anotações em cada transação, proporcionando um contexto adicional que pode ser útil para revisões futuras.</x:v>
      </x:c>
      <x:c r="H7" s="2" t="str">
        <x:v>US01</x:v>
      </x:c>
      <x:c r="I7" s="2" t="str">
        <x:v>Media</x:v>
      </x:c>
      <x:c r="J7" s="2"/>
    </x:row>
    <x:row r="8" ht="41.400001525878906">
      <x:c r="A8" s="2" t="str">
        <x:v>US02</x:v>
      </x:c>
      <x:c r="B8" s="2" t="str">
        <x:v>EP01</x:v>
      </x:c>
      <x:c r="C8" s="2" t="str">
        <x:v>Detalhamento de transações</x:v>
      </x:c>
      <x:c r="D8" s="2" t="str">
        <x:v>Como usuário, quero complementar minhas transações com tags, anotações, método de pagamento e classificações aplicáveis para organizá-las e analisá-las com mais contexto.</x:v>
      </x:c>
      <x:c r="E8" s="2" t="str">
        <x:v>RF58</x:v>
      </x:c>
      <x:c r="F8" s="2" t="str">
        <x:v>Principal</x:v>
      </x:c>
      <x:c r="G8" s="2" t="str">
        <x:v>Para um controle mais preciso, o Orca Finance deve suportar o registro de despesas com métodos de pagamento específicos (dinheiro, cartão de crédito, débito, etc.), permitindo filtrar por eles.</x:v>
      </x:c>
      <x:c r="H8" s="2" t="str">
        <x:v>US01</x:v>
      </x:c>
      <x:c r="I8" s="2" t="str">
        <x:v>Media</x:v>
      </x:c>
      <x:c r="J8" s="2"/>
    </x:row>
    <x:row r="9" ht="41.400001525878906">
      <x:c r="A9" s="2" t="str">
        <x:v>US03</x:v>
      </x:c>
      <x:c r="B9" s="2" t="str">
        <x:v>EP01</x:v>
      </x:c>
      <x:c r="C9" s="2" t="str">
        <x:v>Consulta, busca e filtros de transações</x:v>
      </x:c>
      <x:c r="D9" s="2" t="str">
        <x:v>Como usuário, quero buscar e filtrar transações por data, categoria, descrição, valor e método de pagamento para localizar registros específicos com rapidez.</x:v>
      </x:c>
      <x:c r="E9" s="2" t="str">
        <x:v>RF13</x:v>
      </x:c>
      <x:c r="F9" s="2" t="str">
        <x:v>Principal</x:v>
      </x:c>
      <x:c r="G9" s="2" t="str">
        <x:v>O aplicativo deve permitir a busca e filtragem de transações por data, categoria, descrição ou valor, facilitando a localização de registros específicos.</x:v>
      </x:c>
      <x:c r="H9" s="2" t="str">
        <x:v>US01, US02</x:v>
      </x:c>
      <x:c r="I9" s="2" t="str">
        <x:v>Alta</x:v>
      </x:c>
      <x:c r="J9" s="2"/>
    </x:row>
    <x:row r="10" ht="41.400001525878906">
      <x:c r="A10" s="2" t="str">
        <x:v>US03</x:v>
      </x:c>
      <x:c r="B10" s="2" t="str">
        <x:v>EP01</x:v>
      </x:c>
      <x:c r="C10" s="2" t="str">
        <x:v>Consulta, busca e filtros de transações</x:v>
      </x:c>
      <x:c r="D10" s="2" t="str">
        <x:v>Como usuário, quero buscar e filtrar transações por data, categoria, descrição, valor e método de pagamento para localizar registros específicos com rapidez.</x:v>
      </x:c>
      <x:c r="E10" s="2" t="str">
        <x:v>RF58</x:v>
      </x:c>
      <x:c r="F10" s="2" t="str">
        <x:v>Complementar</x:v>
      </x:c>
      <x:c r="G10" s="2" t="str">
        <x:v>Para um controle mais preciso, o Orca Finance deve suportar o registro de despesas com métodos de pagamento específicos (dinheiro, cartão de crédito, débito, etc.), permitindo filtrar por eles.</x:v>
      </x:c>
      <x:c r="H10" s="2" t="str">
        <x:v>US01, US02</x:v>
      </x:c>
      <x:c r="I10" s="2" t="str">
        <x:v>Alta</x:v>
      </x:c>
      <x:c r="J10" s="2" t="str">
        <x:v>Filtro por método de pagamento complementa o cadastro do atributo em US02.</x:v>
      </x:c>
    </x:row>
    <x:row r="11" ht="27.600000381469727">
      <x:c r="A11" s="2" t="str">
        <x:v>US04</x:v>
      </x:c>
      <x:c r="B11" s="2" t="str">
        <x:v>EP01</x:v>
      </x:c>
      <x:c r="C11" s="2" t="str">
        <x:v>Auditoria de transações</x:v>
      </x:c>
      <x:c r="D11" s="2" t="str">
        <x:v>Como usuário, quero consultar o histórico de alterações e exclusões de uma transação para compreender o que foi modificado ao longo do tempo.</x:v>
      </x:c>
      <x:c r="E11" s="2" t="str">
        <x:v>RF23</x:v>
      </x:c>
      <x:c r="F11" s="2" t="str">
        <x:v>Principal</x:v>
      </x:c>
      <x:c r="G11" s="2" t="str">
        <x:v>Para promover a transparência, o histórico completo de todas as alterações feitas em uma transação (edição, exclusão) deve ser registrado e acessível ao usuário.</x:v>
      </x:c>
      <x:c r="H11" s="2" t="str">
        <x:v>US01</x:v>
      </x:c>
      <x:c r="I11" s="2" t="str">
        <x:v>Baixa</x:v>
      </x:c>
      <x:c r="J11" s="2"/>
    </x:row>
    <x:row r="12" ht="41.400001525878906">
      <x:c r="A12" s="2" t="str">
        <x:v>US05</x:v>
      </x:c>
      <x:c r="B12" s="2" t="str">
        <x:v>EP01</x:v>
      </x:c>
      <x:c r="C12" s="2" t="str">
        <x:v>Categorias e subcategorias</x:v>
      </x:c>
      <x:c r="D12" s="2" t="str">
        <x:v>Como usuário, quero criar subcategorias personalizadas dentro das categorias principais para organizar meus gastos com mais precisão.</x:v>
      </x:c>
      <x:c r="E12" s="2" t="str">
        <x:v>RF02</x:v>
      </x:c>
      <x:c r="F12" s="2" t="str">
        <x:v>Principal</x:v>
      </x:c>
      <x:c r="G12" s="2" t="str">
        <x:v>Para um controle mais granular, o sistema deve possibilitar a criação de subcategorias personalizadas dentro das categorias principais, como "Alimentação" com subcategorias "Restaurante", "Supermercado" e "Lanches".</x:v>
      </x:c>
      <x:c r="H12" s="2" t="str">
        <x:v>Nenhuma (fundação/independente)</x:v>
      </x:c>
      <x:c r="I12" s="2" t="str">
        <x:v>Alta</x:v>
      </x:c>
      <x:c r="J12" s="2"/>
    </x:row>
    <x:row r="13" ht="41.400001525878906">
      <x:c r="A13" s="2" t="str">
        <x:v>US06</x:v>
      </x:c>
      <x:c r="B13" s="2" t="str">
        <x:v>EP02</x:v>
      </x:c>
      <x:c r="C13" s="2" t="str">
        <x:v>Orçamento mensal por categoria</x:v>
      </x:c>
      <x:c r="D13" s="2" t="str">
        <x:v>Como usuário, quero definir limites mensais por categoria, inclusive para gastos com serviços digitais, e visualizar alertas ao me aproximar ou exceder esses limites para controlar meu orçamento.</x:v>
      </x:c>
      <x:c r="E13" s="2" t="str">
        <x:v>RF03</x:v>
      </x:c>
      <x:c r="F13" s="2" t="str">
        <x:v>Principal</x:v>
      </x:c>
      <x:c r="G13" s="2" t="str">
        <x:v>Uma funcionalidade essencial é a capacidade de definir um orçamento mensal para cada categoria de gasto, com o aplicativo fornecendo alertas visuais quando o usuário se aproximar ou exceder o limite estabelecido.</x:v>
      </x:c>
      <x:c r="H13" s="2" t="str">
        <x:v>US01, US05</x:v>
      </x:c>
      <x:c r="I13" s="2" t="str">
        <x:v>Alta</x:v>
      </x:c>
      <x:c r="J13" s="2"/>
    </x:row>
    <x:row r="14" ht="41.400001525878906">
      <x:c r="A14" s="2" t="str">
        <x:v>US06</x:v>
      </x:c>
      <x:c r="B14" s="2" t="str">
        <x:v>EP02</x:v>
      </x:c>
      <x:c r="C14" s="2" t="str">
        <x:v>Orçamento mensal por categoria</x:v>
      </x:c>
      <x:c r="D14" s="2" t="str">
        <x:v>Como usuário, quero definir limites mensais por categoria, inclusive para gastos com serviços digitais, e visualizar alertas ao me aproximar ou exceder esses limites para controlar meu orçamento.</x:v>
      </x:c>
      <x:c r="E14" s="2" t="str">
        <x:v>RF24</x:v>
      </x:c>
      <x:c r="F14" s="2" t="str">
        <x:v>Principal</x:v>
      </x:c>
      <x:c r="G14" s="2" t="str">
        <x:v>O aplicativo deve permitir a criação de um orçamento de "inclusão digital", onde o usuário pode definir limites para gastos com assinaturas de streaming, aplicativos e serviços online.</x:v>
      </x:c>
      <x:c r="H14" s="2" t="str">
        <x:v>US01, US05</x:v>
      </x:c>
      <x:c r="I14" s="2" t="str">
        <x:v>Alta</x:v>
      </x:c>
      <x:c r="J14" s="2"/>
    </x:row>
    <x:row r="15" ht="41.400001525878906">
      <x:c r="A15" s="2" t="str">
        <x:v>US07</x:v>
      </x:c>
      <x:c r="B15" s="2" t="str">
        <x:v>EP02</x:v>
      </x:c>
      <x:c r="C15" s="2" t="str">
        <x:v>Orçamentos flexíveis, temporários e por evento</x:v>
      </x:c>
      <x:c r="D15" s="2" t="str">
        <x:v>Como usuário, quero criar orçamentos com períodos flexíveis e temporários, inclusive vinculados a eventos, para planejar gastos fora do ciclo mensal padrão.</x:v>
      </x:c>
      <x:c r="E15" s="2" t="str">
        <x:v>RF34</x:v>
      </x:c>
      <x:c r="F15" s="2" t="str">
        <x:v>Principal</x:v>
      </x:c>
      <x:c r="G15" s="2" t="str">
        <x:v>O usuário deve poder definir um orçamento para um período específico que não seja mensal, como semanal ou anual, para atender a necessidades de planejamento diferenciadas.</x:v>
      </x:c>
      <x:c r="H15" s="2" t="str">
        <x:v>US06</x:v>
      </x:c>
      <x:c r="I15" s="2" t="str">
        <x:v>Media</x:v>
      </x:c>
      <x:c r="J15" s="2"/>
    </x:row>
    <x:row r="16" ht="41.400001525878906">
      <x:c r="A16" s="2" t="str">
        <x:v>US07</x:v>
      </x:c>
      <x:c r="B16" s="2" t="str">
        <x:v>EP02</x:v>
      </x:c>
      <x:c r="C16" s="2" t="str">
        <x:v>Orçamentos flexíveis, temporários e por evento</x:v>
      </x:c>
      <x:c r="D16" s="2" t="str">
        <x:v>Como usuário, quero criar orçamentos com períodos flexíveis e temporários, inclusive vinculados a eventos, para planejar gastos fora do ciclo mensal padrão.</x:v>
      </x:c>
      <x:c r="E16" s="2" t="str">
        <x:v>RF42</x:v>
      </x:c>
      <x:c r="F16" s="2" t="str">
        <x:v>Principal</x:v>
      </x:c>
      <x:c r="G16" s="2" t="str">
        <x:v>O sistema deve permitir a criação de múltiplos orçamentos temporários, como um orçamento específico para uma viagem ou para um projeto pessoal.</x:v>
      </x:c>
      <x:c r="H16" s="2" t="str">
        <x:v>US06</x:v>
      </x:c>
      <x:c r="I16" s="2" t="str">
        <x:v>Media</x:v>
      </x:c>
      <x:c r="J16" s="2"/>
    </x:row>
    <x:row r="17" ht="41.400001525878906">
      <x:c r="A17" s="2" t="str">
        <x:v>US07</x:v>
      </x:c>
      <x:c r="B17" s="2" t="str">
        <x:v>EP02</x:v>
      </x:c>
      <x:c r="C17" s="2" t="str">
        <x:v>Orçamentos flexíveis, temporários e por evento</x:v>
      </x:c>
      <x:c r="D17" s="2" t="str">
        <x:v>Como usuário, quero criar orçamentos com períodos flexíveis e temporários, inclusive vinculados a eventos, para planejar gastos fora do ciclo mensal padrão.</x:v>
      </x:c>
      <x:c r="E17" s="2" t="str">
        <x:v>RF63</x:v>
      </x:c>
      <x:c r="F17" s="2" t="str">
        <x:v>Principal</x:v>
      </x:c>
      <x:c r="G17" s="2" t="str">
        <x:v>O sistema deve permitir a criação de um "orçamento por evento", como um casamento ou uma festa de aniversário, onde todos os gastos relacionados são agrupados e acompanhados.</x:v>
      </x:c>
      <x:c r="H17" s="2" t="str">
        <x:v>US06</x:v>
      </x:c>
      <x:c r="I17" s="2" t="str">
        <x:v>Media</x:v>
      </x:c>
      <x:c r="J17" s="2"/>
    </x:row>
    <x:row r="18" ht="41.400001525878906">
      <x:c r="A18" s="2" t="str">
        <x:v>US09</x:v>
      </x:c>
      <x:c r="B18" s="2" t="str">
        <x:v>EP02</x:v>
      </x:c>
      <x:c r="C18" s="2" t="str">
        <x:v>Orçamento zero-based</x:v>
      </x:c>
      <x:c r="D18" s="2" t="str">
        <x:v>Como usuário, quero distribuir a renda do período entre categorias em um orçamento zero para dar destino a todo o valor planejado.</x:v>
      </x:c>
      <x:c r="E18" s="2" t="str">
        <x:v>RF46</x:v>
      </x:c>
      <x:c r="F18" s="2" t="str">
        <x:v>Principal</x:v>
      </x:c>
      <x:c r="G18" s="2" t="str">
        <x:v>O sistema deve permitir que o usuário estabeleça um "orçamento zero" (zero-based budget), onde cada real da renda é destinado a uma categoria específica, promovendo um planejamento mais rigoroso.</x:v>
      </x:c>
      <x:c r="H18" s="2" t="str">
        <x:v>US01, US05</x:v>
      </x:c>
      <x:c r="I18" s="2" t="str">
        <x:v>Baixa</x:v>
      </x:c>
      <x:c r="J18" s="2"/>
    </x:row>
    <x:row r="19" ht="41.400001525878906">
      <x:c r="A19" s="2" t="str">
        <x:v>US10</x:v>
      </x:c>
      <x:c r="B19" s="2" t="str">
        <x:v>EP03</x:v>
      </x:c>
      <x:c r="C19" s="2" t="str">
        <x:v>Metas de economia</x:v>
      </x:c>
      <x:c r="D19" s="2" t="str">
        <x:v>Como usuário, quero criar e acompanhar metas de economia com valor-alvo, data-limite e sugestão de economia diária ou semanal para planejar meus objetivos financeiros.</x:v>
      </x:c>
      <x:c r="E19" s="2" t="str">
        <x:v>RF04</x:v>
      </x:c>
      <x:c r="F19" s="2" t="str">
        <x:v>Principal</x:v>
      </x:c>
      <x:c r="G19" s="2" t="str">
        <x:v>O Orca Finance deve implementar um sistema de "metas de economia", onde o usuário pode definir um objetivo financeiro com um valor alvo e uma data limite, e o aplicativo calcula e sugere um valor de economia diário ou semanal.</x:v>
      </x:c>
      <x:c r="H19" s="2" t="str">
        <x:v>Nenhuma (fundação/independente)</x:v>
      </x:c>
      <x:c r="I19" s="2" t="str">
        <x:v>Media</x:v>
      </x:c>
      <x:c r="J19" s="2"/>
    </x:row>
    <x:row r="20" ht="27.600000381469727">
      <x:c r="A20" s="2" t="str">
        <x:v>US11</x:v>
      </x:c>
      <x:c r="B20" s="2" t="str">
        <x:v>EP03</x:v>
      </x:c>
      <x:c r="C20" s="2" t="str">
        <x:v>Compartilhamento de metas</x:v>
      </x:c>
      <x:c r="D20" s="2" t="str">
        <x:v>Como usuário, quero compartilhar o progresso das minhas metas com contatos selecionados para obter apoio e motivação.</x:v>
      </x:c>
      <x:c r="E20" s="2" t="str">
        <x:v>RF30</x:v>
      </x:c>
      <x:c r="F20" s="2" t="str">
        <x:v>Principal</x:v>
      </x:c>
      <x:c r="G20" s="2" t="str">
        <x:v>O sistema deve permitir que o usuário compartilhe o progresso de suas metas de economia com contatos selecionados, como um parceiro ou um amigo para fins de motivação.</x:v>
      </x:c>
      <x:c r="H20" s="2" t="str">
        <x:v>US10</x:v>
      </x:c>
      <x:c r="I20" s="2" t="str">
        <x:v>Baixa</x:v>
      </x:c>
      <x:c r="J20" s="2"/>
    </x:row>
    <x:row r="21" ht="41.400001525878906">
      <x:c r="A21" s="2" t="str">
        <x:v>US12</x:v>
      </x:c>
      <x:c r="B21" s="2" t="str">
        <x:v>EP03</x:v>
      </x:c>
      <x:c r="C21" s="2" t="str">
        <x:v>Reflexão antes da compra</x:v>
      </x:c>
      <x:c r="D21" s="2" t="str">
        <x:v>Como usuário, quero usar mecanismos de reflexão antes de comprar, incluindo período de espera e pergunta ao registrar uma compra não essencial, para reduzir decisões impulsivas.</x:v>
      </x:c>
      <x:c r="E21" s="2" t="str">
        <x:v>RF05</x:v>
      </x:c>
      <x:c r="F21" s="2" t="str">
        <x:v>Principal</x:v>
      </x:c>
      <x:c r="G21" s="2" t="str">
        <x:v>Para desencorajar compras por impulso, o aplicativo deve incluir um recurso de "período de reflexão", onde o usuário pode adicionar um item desejado a uma lista de espera, e o sistema só libera a opção de compra após um intervalo de tempo pré-definido, como 24 horas.</x:v>
      </x:c>
      <x:c r="H21" s="2" t="str">
        <x:v>US01, US02</x:v>
      </x:c>
      <x:c r="I21" s="2" t="str">
        <x:v>Baixa</x:v>
      </x:c>
      <x:c r="J21" s="2"/>
    </x:row>
    <x:row r="22" ht="41.400001525878906">
      <x:c r="A22" s="2" t="str">
        <x:v>US12</x:v>
      </x:c>
      <x:c r="B22" s="2" t="str">
        <x:v>EP03</x:v>
      </x:c>
      <x:c r="C22" s="2" t="str">
        <x:v>Reflexão antes da compra</x:v>
      </x:c>
      <x:c r="D22" s="2" t="str">
        <x:v>Como usuário, quero usar mecanismos de reflexão antes de comprar, incluindo período de espera e pergunta ao registrar uma compra não essencial, para reduzir decisões impulsivas.</x:v>
      </x:c>
      <x:c r="E22" s="2" t="str">
        <x:v>RF70</x:v>
      </x:c>
      <x:c r="F22" s="2" t="str">
        <x:v>Principal</x:v>
      </x:c>
      <x:c r="G22" s="2" t="str">
        <x:v>Para promover hábitos conscientes, o aplicativo deve exibir uma frase ou pergunta reflexiva toda vez que o usuário estiver prestes a finalizar o registro de uma compra não essencial.</x:v>
      </x:c>
      <x:c r="H22" s="2" t="str">
        <x:v>US01, US02</x:v>
      </x:c>
      <x:c r="I22" s="2" t="str">
        <x:v>Baixa</x:v>
      </x:c>
      <x:c r="J22" s="2"/>
    </x:row>
    <x:row r="23" ht="41.400001525878906">
      <x:c r="A23" s="2" t="str">
        <x:v>US13</x:v>
      </x:c>
      <x:c r="B23" s="2" t="str">
        <x:v>EP04</x:v>
      </x:c>
      <x:c r="C23" s="2" t="str">
        <x:v>Relatórios gráficos de gastos</x:v>
      </x:c>
      <x:c r="D23" s="2" t="str">
        <x:v>Como usuário, quero visualizar gráficos de gastos por categoria e período para compreender a distribuição das minhas despesas.</x:v>
      </x:c>
      <x:c r="E23" s="2" t="str">
        <x:v>RF06</x:v>
      </x:c>
      <x:c r="F23" s="2" t="str">
        <x:v>Principal</x:v>
      </x:c>
      <x:c r="G23" s="2" t="str">
        <x:v>O sistema deve gerar relatórios detalhados de gastos em formato gráfico, como gráficos de pizza e de barras, que demonstram a distribuição dos gastos por categoria ao longo de um período selecionado.</x:v>
      </x:c>
      <x:c r="H23" s="2" t="str">
        <x:v>US01, US05</x:v>
      </x:c>
      <x:c r="I23" s="2" t="str">
        <x:v>Alta</x:v>
      </x:c>
      <x:c r="J23" s="2"/>
    </x:row>
    <x:row r="24" ht="41.400001525878906">
      <x:c r="A24" s="2" t="str">
        <x:v>US14</x:v>
      </x:c>
      <x:c r="B24" s="2" t="str">
        <x:v>EP04</x:v>
      </x:c>
      <x:c r="C24" s="2" t="str">
        <x:v>Exportação de dados financeiros</x:v>
      </x:c>
      <x:c r="D24" s="2" t="str">
        <x:v>Como usuário, quero exportar meus dados financeiros em CSV e em formato compatível com Excel para analisá-los externamente ou manter uma cópia das informações.</x:v>
      </x:c>
      <x:c r="E24" s="2" t="str">
        <x:v>RF07</x:v>
      </x:c>
      <x:c r="F24" s="2" t="str">
        <x:v>Principal</x:v>
      </x:c>
      <x:c r="G24" s="2" t="str">
        <x:v>O usuário deve poder exportar seus dados financeiros para um arquivo CSV, permitindo uma análise externa ou o backup das informações.</x:v>
      </x:c>
      <x:c r="H24" s="2" t="str">
        <x:v>US01</x:v>
      </x:c>
      <x:c r="I24" s="2" t="str">
        <x:v>Media</x:v>
      </x:c>
      <x:c r="J24" s="2"/>
    </x:row>
    <x:row r="25" ht="41.400001525878906">
      <x:c r="A25" s="2" t="str">
        <x:v>US14</x:v>
      </x:c>
      <x:c r="B25" s="2" t="str">
        <x:v>EP04</x:v>
      </x:c>
      <x:c r="C25" s="2" t="str">
        <x:v>Exportação de dados financeiros</x:v>
      </x:c>
      <x:c r="D25" s="2" t="str">
        <x:v>Como usuário, quero exportar meus dados financeiros em CSV e em formato compatível com Excel para analisá-los externamente ou manter uma cópia das informações.</x:v>
      </x:c>
      <x:c r="E25" s="2" t="str">
        <x:v>RF28</x:v>
      </x:c>
      <x:c r="F25" s="2" t="str">
        <x:v>Principal</x:v>
      </x:c>
      <x:c r="G25" s="2" t="str">
        <x:v>Para uma análise mais profunda, o usuário pode exportar seus dados financeiros para um formato compatível com ferramentas de planilha, como o Excel.</x:v>
      </x:c>
      <x:c r="H25" s="2" t="str">
        <x:v>US01</x:v>
      </x:c>
      <x:c r="I25" s="2" t="str">
        <x:v>Media</x:v>
      </x:c>
      <x:c r="J25" s="2"/>
    </x:row>
    <x:row r="26" ht="41.400001525878906">
      <x:c r="A26" s="2" t="str">
        <x:v>US15</x:v>
      </x:c>
      <x:c r="B26" s="2" t="str">
        <x:v>EP04</x:v>
      </x:c>
      <x:c r="C26" s="2" t="str">
        <x:v>Dashboard financeiro</x:v>
      </x:c>
      <x:c r="D26" s="2" t="str">
        <x:v>Como usuário, quero visualizar saldo, gastos do mês, progresso das metas e comparação com o mês anterior em um painel para entender rapidamente minha situação financeira.</x:v>
      </x:c>
      <x:c r="E26" s="2" t="str">
        <x:v>RF08</x:v>
      </x:c>
      <x:c r="F26" s="2" t="str">
        <x:v>Principal</x:v>
      </x:c>
      <x:c r="G26" s="2" t="str">
        <x:v>Para uma visão holística, o aplicativo deve exibir um painel de controle principal que resume o saldo atual, os gastos do mês, o progresso das metas de economia e um comparativo com o mês anterior.</x:v>
      </x:c>
      <x:c r="H26" s="2" t="str">
        <x:v>US01, US10</x:v>
      </x:c>
      <x:c r="I26" s="2" t="str">
        <x:v>Alta</x:v>
      </x:c>
      <x:c r="J26" s="2"/>
    </x:row>
    <x:row r="27" ht="41.400001525878906">
      <x:c r="A27" s="2" t="str">
        <x:v>US16</x:v>
      </x:c>
      <x:c r="B27" s="2" t="str">
        <x:v>EP06</x:v>
      </x:c>
      <x:c r="C27" s="2" t="str">
        <x:v>Lembretes inteligentes de transações</x:v>
      </x:c>
      <x:c r="D27" s="2" t="str">
        <x:v>Como usuário, quero receber lembretes push para registrar transações possivelmente esquecidas, com base no meu histórico de gastos ou em horários predefinidos, para reduzir omissões no controle financeiro.</x:v>
      </x:c>
      <x:c r="E27" s="2" t="str">
        <x:v>RF09</x:v>
      </x:c>
      <x:c r="F27" s="2" t="str">
        <x:v>Principal</x:v>
      </x:c>
      <x:c r="G27" s="2" t="str">
        <x:v>O sistema de notificações push deve ser inteligente, enviando lembretes para registrar transações que podem ter sido esquecidas, baseando-se no histórico de gastos do usuário ou em horários pré-definidos.</x:v>
      </x:c>
      <x:c r="H27" s="2" t="str">
        <x:v>US01</x:v>
      </x:c>
      <x:c r="I27" s="2" t="str">
        <x:v>Baixa</x:v>
      </x:c>
      <x:c r="J27" s="2"/>
    </x:row>
    <x:row r="28" ht="41.400001525878906">
      <x:c r="A28" s="2" t="str">
        <x:v>US17</x:v>
      </x:c>
      <x:c r="B28" s="2" t="str">
        <x:v>EP03</x:v>
      </x:c>
      <x:c r="C28" s="2" t="str">
        <x:v>Desafio de economia</x:v>
      </x:c>
      <x:c r="D28" s="2" t="str">
        <x:v>Como usuário, quero participar de um desafio de economia com período e valor-alvo definidos, acompanhando meu progresso e recebendo mensagens de incentivo para desenvolver o hábito de economizar.</x:v>
      </x:c>
      <x:c r="E28" s="2" t="str">
        <x:v>RF10</x:v>
      </x:c>
      <x:c r="F28" s="2" t="str">
        <x:v>Principal</x:v>
      </x:c>
      <x:c r="G28" s="2" t="str">
        <x:v>Uma funcionalidade de "desafio de economia" deve propor ao usuário um período (ex: 30 dias) para economizar uma quantia específica, com atualizações de progresso e mensagens de incentivo.</x:v>
      </x:c>
      <x:c r="H28" s="2" t="str">
        <x:v>Nenhuma dependência funcional definida</x:v>
      </x:c>
      <x:c r="I28" s="2" t="str">
        <x:v>Baixa</x:v>
      </x:c>
      <x:c r="J28" s="2"/>
    </x:row>
    <x:row r="29" ht="27.600000381469727">
      <x:c r="A29" s="2" t="str">
        <x:v>US18</x:v>
      </x:c>
      <x:c r="B29" s="2" t="str">
        <x:v>EP07</x:v>
      </x:c>
      <x:c r="C29" s="2" t="str">
        <x:v>Perfis financeiros múltiplos</x:v>
      </x:c>
      <x:c r="D29" s="2" t="str">
        <x:v>Como usuário, quero manter e alternar entre perfis financeiros separados para administrar diferentes contextos de finanças.</x:v>
      </x:c>
      <x:c r="E29" s="2" t="str">
        <x:v>RF11</x:v>
      </x:c>
      <x:c r="F29" s="2" t="str">
        <x:v>Principal</x:v>
      </x:c>
      <x:c r="G29" s="2" t="str">
        <x:v>O aplicativo deve suportar múltiplos perfis financeiros, permitindo que o usuário gerencie, por exemplo, uma conta pessoal e uma conta conjunta separadamente.</x:v>
      </x:c>
      <x:c r="H29" s="2" t="str">
        <x:v>US60</x:v>
      </x:c>
      <x:c r="I29" s="2" t="str">
        <x:v>Media</x:v>
      </x:c>
      <x:c r="J29" s="2"/>
    </x:row>
    <x:row r="30" ht="41.400001525878906">
      <x:c r="A30" s="2" t="str">
        <x:v>US19</x:v>
      </x:c>
      <x:c r="B30" s="2" t="str">
        <x:v>EP06</x:v>
      </x:c>
      <x:c r="C30" s="2" t="str">
        <x:v>Anexo de recibo à despesa</x:v>
      </x:c>
      <x:c r="D30" s="2" t="str">
        <x:v>Como usuário, quero anexar uma foto do recibo ao registrar uma despesa usando a câmera do dispositivo para manter um comprovante associado à transação.</x:v>
      </x:c>
      <x:c r="E30" s="2" t="str">
        <x:v>RF12</x:v>
      </x:c>
      <x:c r="F30" s="2" t="str">
        <x:v>Principal</x:v>
      </x:c>
      <x:c r="G30" s="2" t="str">
        <x:v>Para melhorar a precisão dos dados, o usuário pode anexar uma foto do recibo da compra ao registrar uma despesa, utilizando a câmera do dispositivo.</x:v>
      </x:c>
      <x:c r="H30" s="2" t="str">
        <x:v>US01</x:v>
      </x:c>
      <x:c r="I30" s="2" t="str">
        <x:v>Media</x:v>
      </x:c>
      <x:c r="J30" s="2"/>
    </x:row>
    <x:row r="31" ht="27.600000381469727">
      <x:c r="A31" s="2" t="str">
        <x:v>US20</x:v>
      </x:c>
      <x:c r="B31" s="2" t="str">
        <x:v>EP06</x:v>
      </x:c>
      <x:c r="C31" s="2" t="str">
        <x:v>Regras de automação de classificação</x:v>
      </x:c>
      <x:c r="D31" s="2" t="str">
        <x:v>Como usuário, quero criar regras explícitas de automação para classificar atributos das transações e reduzir tarefas repetitivas.</x:v>
      </x:c>
      <x:c r="E31" s="2" t="str">
        <x:v>RF15</x:v>
      </x:c>
      <x:c r="F31" s="2" t="str">
        <x:v>Principal</x:v>
      </x:c>
      <x:c r="G31" s="2" t="str">
        <x:v>O sistema deve suportar a criação de regras de automação, como "sempre que eu registrar um gasto em 'Transporte', classificar como 'Essencial'".</x:v>
      </x:c>
      <x:c r="H31" s="2" t="str">
        <x:v>US01, US05</x:v>
      </x:c>
      <x:c r="I31" s="2" t="str">
        <x:v>Media</x:v>
      </x:c>
      <x:c r="J31" s="2"/>
    </x:row>
    <x:row r="32" ht="27.600000381469727">
      <x:c r="A32" s="2" t="str">
        <x:v>US21</x:v>
      </x:c>
      <x:c r="B32" s="2" t="str">
        <x:v>EP07</x:v>
      </x:c>
      <x:c r="C32" s="2" t="str">
        <x:v>Sincronização entre dispositivos</x:v>
      </x:c>
      <x:c r="D32" s="2" t="str">
        <x:v>Como usuário, quero sincronizar meus dados financeiros entre dispositivos para acessar informações consistentes em diferentes aparelhos.</x:v>
      </x:c>
      <x:c r="E32" s="2" t="str">
        <x:v>RF16</x:v>
      </x:c>
      <x:c r="F32" s="2" t="str">
        <x:v>Principal</x:v>
      </x:c>
      <x:c r="G32" s="2" t="str">
        <x:v>A sincronização dos dados entre diferentes dispositivos deve ser implementada, garantindo que o usuário tenha acesso às suas informações financeiras em qualquer lugar.</x:v>
      </x:c>
      <x:c r="H32" s="2" t="str">
        <x:v>US01, US18, US60</x:v>
      </x:c>
      <x:c r="I32" s="2" t="str">
        <x:v>Media</x:v>
      </x:c>
      <x:c r="J32" s="2"/>
    </x:row>
    <x:row r="33" ht="41.400001525878906">
      <x:c r="A33" s="2" t="str">
        <x:v>US22</x:v>
      </x:c>
      <x:c r="B33" s="2" t="str">
        <x:v>EP01</x:v>
      </x:c>
      <x:c r="C33" s="2" t="str">
        <x:v>Conversão de moedas</x:v>
      </x:c>
      <x:c r="D33" s="2" t="str">
        <x:v>Como usuário, quero registrar gastos em moedas diferentes e convertê-los para a moeda-base do perfil para manter meus valores comparáveis.</x:v>
      </x:c>
      <x:c r="E33" s="2" t="str">
        <x:v>RF17</x:v>
      </x:c>
      <x:c r="F33" s="2" t="str">
        <x:v>Principal</x:v>
      </x:c>
      <x:c r="G33" s="2" t="str">
        <x:v>O aplicativo deve integrar uma API de conversão de moedas para permitir que o usuário registre gastos em diferentes moedas, que serão automaticamente convertidas para a moeda base do perfil.</x:v>
      </x:c>
      <x:c r="H33" s="2" t="str">
        <x:v>US01, US18</x:v>
      </x:c>
      <x:c r="I33" s="2" t="str">
        <x:v>Baixa</x:v>
      </x:c>
      <x:c r="J33" s="2"/>
    </x:row>
    <x:row r="34" ht="41.400001525878906">
      <x:c r="A34" s="2" t="str">
        <x:v>US23</x:v>
      </x:c>
      <x:c r="B34" s="2" t="str">
        <x:v>EP08</x:v>
      </x:c>
      <x:c r="C34" s="2" t="str">
        <x:v>Conteúdo de educação financeira</x:v>
      </x:c>
      <x:c r="D34" s="2" t="str">
        <x:v>Como usuário, quero acessar pequenos artigos e dicas diárias sobre economia, investimentos e controle de gastos e marcar o que já li para acompanhar meu aprendizado financeiro.</x:v>
      </x:c>
      <x:c r="E34" s="2" t="str">
        <x:v>RF19</x:v>
      </x:c>
      <x:c r="F34" s="2" t="str">
        <x:v>Principal</x:v>
      </x:c>
      <x:c r="G34" s="2" t="str">
        <x:v>O módulo de "educação financeira" deve exibir pequenos artigos ou dicas diárias sobre economia, investimentos e controle de gastos, com a possibilidade de o usuário marcar os que já leu.</x:v>
      </x:c>
      <x:c r="H34" s="2" t="str">
        <x:v>Nenhuma (fundação/independente)</x:v>
      </x:c>
      <x:c r="I34" s="2" t="str">
        <x:v>Baixa</x:v>
      </x:c>
      <x:c r="J34" s="2"/>
    </x:row>
    <x:row r="35" ht="41.400001525878906">
      <x:c r="A35" s="2" t="str">
        <x:v>US24</x:v>
      </x:c>
      <x:c r="B35" s="2" t="str">
        <x:v>EP06</x:v>
      </x:c>
      <x:c r="C35" s="2" t="str">
        <x:v>Recorrências e lembretes de vencimento</x:v>
      </x:c>
      <x:c r="D35" s="2" t="str">
        <x:v>Como usuário, quero configurar receitas e despesas recorrentes e lembretes de vencimento associados a transações futuras para automatizar lançamentos e evitar atrasos.</x:v>
      </x:c>
      <x:c r="E35" s="2" t="str">
        <x:v>RF20</x:v>
      </x:c>
      <x:c r="F35" s="2" t="str">
        <x:v>Principal</x:v>
      </x:c>
      <x:c r="G35" s="2" t="str">
        <x:v>O usuário deve poder registrar receitas recorrentes, como salário, e despesas fixas, como aluguel, configurando-as para serem adicionadas automaticamente ao extrato em datas específicas.</x:v>
      </x:c>
      <x:c r="H35" s="2" t="str">
        <x:v>US01</x:v>
      </x:c>
      <x:c r="I35" s="2" t="str">
        <x:v>Media</x:v>
      </x:c>
      <x:c r="J35" s="2"/>
    </x:row>
    <x:row r="36" ht="41.400001525878906">
      <x:c r="A36" s="2" t="str">
        <x:v>US24</x:v>
      </x:c>
      <x:c r="B36" s="2" t="str">
        <x:v>EP06</x:v>
      </x:c>
      <x:c r="C36" s="2" t="str">
        <x:v>Recorrências e lembretes de vencimento</x:v>
      </x:c>
      <x:c r="D36" s="2" t="str">
        <x:v>Como usuário, quero configurar receitas e despesas recorrentes e lembretes de vencimento associados a transações futuras para automatizar lançamentos e evitar atrasos.</x:v>
      </x:c>
      <x:c r="E36" s="2" t="str">
        <x:v>RF64</x:v>
      </x:c>
      <x:c r="F36" s="2" t="str">
        <x:v>Principal</x:v>
      </x:c>
      <x:c r="G36" s="2" t="str">
        <x:v>O Orca Finance deve possibilitar que o usuário defina lembretes para datas de vencimento de contas, associando a conta a uma transação futura programada.</x:v>
      </x:c>
      <x:c r="H36" s="2" t="str">
        <x:v>US01</x:v>
      </x:c>
      <x:c r="I36" s="2" t="str">
        <x:v>Media</x:v>
      </x:c>
      <x:c r="J36" s="2"/>
    </x:row>
    <x:row r="37" ht="27.600000381469727">
      <x:c r="A37" s="2" t="str">
        <x:v>US25</x:v>
      </x:c>
      <x:c r="B37" s="2" t="str">
        <x:v>EP04</x:v>
      </x:c>
      <x:c r="C37" s="2" t="str">
        <x:v>Métricas financeiras</x:v>
      </x:c>
      <x:c r="D37" s="2" t="str">
        <x:v>Como usuário, quero visualizar taxa de poupança e saldo médio diário para acompanhar meu desempenho financeiro.</x:v>
      </x:c>
      <x:c r="E37" s="2" t="str">
        <x:v>RF22</x:v>
      </x:c>
      <x:c r="F37" s="2" t="str">
        <x:v>Principal</x:v>
      </x:c>
      <x:c r="G37" s="2" t="str">
        <x:v>O aplicativo deve calcular e exibir métricas financeiras importantes, como a taxa de poupança (percentual da renda que é economizado) e o saldo médio diário.</x:v>
      </x:c>
      <x:c r="H37" s="2" t="str">
        <x:v>US01</x:v>
      </x:c>
      <x:c r="I37" s="2" t="str">
        <x:v>Media</x:v>
      </x:c>
      <x:c r="J37" s="2"/>
    </x:row>
    <x:row r="38" ht="41.400001525878906">
      <x:c r="A38" s="2" t="str">
        <x:v>US27</x:v>
      </x:c>
      <x:c r="B38" s="2" t="str">
        <x:v>EP05</x:v>
      </x:c>
      <x:c r="C38" s="2" t="str">
        <x:v>Simulação de impacto de compras</x:v>
      </x:c>
      <x:c r="D38" s="2" t="str">
        <x:v>Como usuário, quero simular o impacto de uma compra, inclusive parcelada, no orçamento atual e futuro para avaliar seu comprometimento antes de decidir.</x:v>
      </x:c>
      <x:c r="E38" s="2" t="str">
        <x:v>RF25</x:v>
      </x:c>
      <x:c r="F38" s="2" t="str">
        <x:v>Principal</x:v>
      </x:c>
      <x:c r="G38" s="2" t="str">
        <x:v>Um recurso de "simulador de compras" deve permitir que o usuário insira o valor de um bem desejado para visualizar o impacto dessa compra em seu orçamento mensal ao longo do tempo.</x:v>
      </x:c>
      <x:c r="H38" s="2" t="str">
        <x:v>US06</x:v>
      </x:c>
      <x:c r="I38" s="2" t="str">
        <x:v>Media</x:v>
      </x:c>
      <x:c r="J38" s="2"/>
    </x:row>
    <x:row r="39" ht="41.400001525878906">
      <x:c r="A39" s="2" t="str">
        <x:v>US27</x:v>
      </x:c>
      <x:c r="B39" s="2" t="str">
        <x:v>EP05</x:v>
      </x:c>
      <x:c r="C39" s="2" t="str">
        <x:v>Simulação de impacto de compras</x:v>
      </x:c>
      <x:c r="D39" s="2" t="str">
        <x:v>Como usuário, quero simular o impacto de uma compra, inclusive parcelada, no orçamento atual e futuro para avaliar seu comprometimento antes de decidir.</x:v>
      </x:c>
      <x:c r="E39" s="2" t="str">
        <x:v>RF60</x:v>
      </x:c>
      <x:c r="F39" s="2" t="str">
        <x:v>Principal</x:v>
      </x:c>
      <x:c r="G39" s="2" t="str">
        <x:v>O sistema deve fornecer uma previsão do impacto de uma compra parcelada no orçamento dos próximos meses, mostrando o comprometimento da renda futura.</x:v>
      </x:c>
      <x:c r="H39" s="2" t="str">
        <x:v>US06</x:v>
      </x:c>
      <x:c r="I39" s="2" t="str">
        <x:v>Media</x:v>
      </x:c>
      <x:c r="J39" s="2"/>
    </x:row>
    <x:row r="40" ht="27.600000381469727">
      <x:c r="A40" s="2" t="str">
        <x:v>US28</x:v>
      </x:c>
      <x:c r="B40" s="2" t="str">
        <x:v>EP05</x:v>
      </x:c>
      <x:c r="C40" s="2" t="str">
        <x:v>Comparação de preço histórico</x:v>
      </x:c>
      <x:c r="D40" s="2" t="str">
        <x:v>Como usuário, quero comparar o preço atual de um produto desejado com sua média histórica para avaliar se o momento de compra é favorável.</x:v>
      </x:c>
      <x:c r="E40" s="2" t="str">
        <x:v>RF66</x:v>
      </x:c>
      <x:c r="F40" s="2" t="str">
        <x:v>Principal</x:v>
      </x:c>
      <x:c r="G40" s="2" t="str">
        <x:v>Para auxiliar na decisão de compra, o aplicativo deve permitir que o usuário compare o preço de um produto desejado com a sua média de preços dos últimos meses.</x:v>
      </x:c>
      <x:c r="H40" s="2" t="str">
        <x:v>Nenhuma (fundação/independente)</x:v>
      </x:c>
      <x:c r="I40" s="2" t="str">
        <x:v>Baixa</x:v>
      </x:c>
      <x:c r="J40" s="2"/>
    </x:row>
    <x:row r="41" ht="41.400001525878906">
      <x:c r="A41" s="2" t="str">
        <x:v>US29</x:v>
      </x:c>
      <x:c r="B41" s="2" t="str">
        <x:v>EP02</x:v>
      </x:c>
      <x:c r="C41" s="2" t="str">
        <x:v>Limites de gastos e alertas</x:v>
      </x:c>
      <x:c r="D41" s="2" t="str">
        <x:v>Como usuário, quero definir limite diário e limites por categoria, escolhendo os canais de alerta aplicáveis, para ser avisado quando meus gastos atingirem os valores definidos.</x:v>
      </x:c>
      <x:c r="E41" s="2" t="str">
        <x:v>RF27</x:v>
      </x:c>
      <x:c r="F41" s="2" t="str">
        <x:v>Principal</x:v>
      </x:c>
      <x:c r="G41" s="2" t="str">
        <x:v>O Orca Finance deve possibilitar que o usuário defina um limite máximo de gastos diário, com um alerta sendo disparado sempre que esse limite for atingido.</x:v>
      </x:c>
      <x:c r="H41" s="2" t="str">
        <x:v>US01, US05</x:v>
      </x:c>
      <x:c r="I41" s="2" t="str">
        <x:v>Media</x:v>
      </x:c>
      <x:c r="J41" s="2"/>
    </x:row>
    <x:row r="42" ht="41.400001525878906">
      <x:c r="A42" s="2" t="str">
        <x:v>US29</x:v>
      </x:c>
      <x:c r="B42" s="2" t="str">
        <x:v>EP02</x:v>
      </x:c>
      <x:c r="C42" s="2" t="str">
        <x:v>Limites de gastos e alertas</x:v>
      </x:c>
      <x:c r="D42" s="2" t="str">
        <x:v>Como usuário, quero definir limite diário e limites por categoria, escolhendo os canais de alerta aplicáveis, para ser avisado quando meus gastos atingirem os valores definidos.</x:v>
      </x:c>
      <x:c r="E42" s="2" t="str">
        <x:v>RF54</x:v>
      </x:c>
      <x:c r="F42" s="2" t="str">
        <x:v>Principal</x:v>
      </x:c>
      <x:c r="G42" s="2" t="str">
        <x:v>O sistema deve permitir que o usuário configure alertas para quando uma categoria de gasto específica ultrapassar um limite definido, com a opção de receber a notificação por e-mail ou push.</x:v>
      </x:c>
      <x:c r="H42" s="2" t="str">
        <x:v>US01, US05</x:v>
      </x:c>
      <x:c r="I42" s="2" t="str">
        <x:v>Media</x:v>
      </x:c>
      <x:c r="J42" s="2"/>
    </x:row>
    <x:row r="43" ht="27.600000381469727">
      <x:c r="A43" s="2" t="str">
        <x:v>US30</x:v>
      </x:c>
      <x:c r="B43" s="2" t="str">
        <x:v>EP07</x:v>
      </x:c>
      <x:c r="C43" s="2" t="str">
        <x:v>Personalização visual</x:v>
      </x:c>
      <x:c r="D43" s="2" t="str">
        <x:v>Como usuário, quero usar modo escuro e personalizar cores do tema e dos gráficos para adaptar a interface às minhas preferências.</x:v>
      </x:c>
      <x:c r="E43" s="2" t="str">
        <x:v>RF31</x:v>
      </x:c>
      <x:c r="F43" s="2" t="str">
        <x:v>Principal</x:v>
      </x:c>
      <x:c r="G43" s="2" t="str">
        <x:v>Um "modo escuro" deve ser implementado para melhorar a usabilidade do aplicativo em ambientes com pouca luz, respeitando as configurações de tema do sistema Android.</x:v>
      </x:c>
      <x:c r="H43" s="2" t="str">
        <x:v>Nenhuma (fundação/independente)</x:v>
      </x:c>
      <x:c r="I43" s="2" t="str">
        <x:v>Baixa</x:v>
      </x:c>
      <x:c r="J43" s="2"/>
    </x:row>
    <x:row r="44" ht="27.600000381469727">
      <x:c r="A44" s="2" t="str">
        <x:v>US30</x:v>
      </x:c>
      <x:c r="B44" s="2" t="str">
        <x:v>EP07</x:v>
      </x:c>
      <x:c r="C44" s="2" t="str">
        <x:v>Personalização visual</x:v>
      </x:c>
      <x:c r="D44" s="2" t="str">
        <x:v>Como usuário, quero usar modo escuro e personalizar cores do tema e dos gráficos para adaptar a interface às minhas preferências.</x:v>
      </x:c>
      <x:c r="E44" s="2" t="str">
        <x:v>RF50</x:v>
      </x:c>
      <x:c r="F44" s="2" t="str">
        <x:v>Principal</x:v>
      </x:c>
      <x:c r="G44" s="2" t="str">
        <x:v>O Orca Finance deve permitir que o usuário personalize as cores dos gráficos e do tema do aplicativo, adaptando a interface ao seu gosto pessoal.</x:v>
      </x:c>
      <x:c r="H44" s="2" t="str">
        <x:v>Nenhuma (fundação/independente)</x:v>
      </x:c>
      <x:c r="I44" s="2" t="str">
        <x:v>Baixa</x:v>
      </x:c>
      <x:c r="J44" s="2"/>
    </x:row>
    <x:row r="45" ht="41.400001525878906">
      <x:c r="A45" s="2" t="str">
        <x:v>US31</x:v>
      </x:c>
      <x:c r="B45" s="2" t="str">
        <x:v>EP05</x:v>
      </x:c>
      <x:c r="C45" s="2" t="str">
        <x:v>Juros compostos e custo de oportunidade</x:v>
      </x:c>
      <x:c r="D45" s="2" t="str">
        <x:v>Como usuário, quero calcular juros compostos e o valor futuro hipotético de um gasto não realizado para comparar cenários de investimento e consumo.</x:v>
      </x:c>
      <x:c r="E45" s="2" t="str">
        <x:v>RF32</x:v>
      </x:c>
      <x:c r="F45" s="2" t="str">
        <x:v>Principal</x:v>
      </x:c>
      <x:c r="G45" s="2" t="str">
        <x:v>O aplicativo deve oferecer uma ferramenta para calcular o valor de juros compostos, ajudando o usuário a visualizar o potencial de crescimento de seus investimentos a longo prazo.</x:v>
      </x:c>
      <x:c r="H45" s="2" t="str">
        <x:v>Nenhuma (fundação/independente)</x:v>
      </x:c>
      <x:c r="I45" s="2" t="str">
        <x:v>Media</x:v>
      </x:c>
      <x:c r="J45" s="2"/>
    </x:row>
    <x:row r="46" ht="41.400001525878906">
      <x:c r="A46" s="2" t="str">
        <x:v>US31</x:v>
      </x:c>
      <x:c r="B46" s="2" t="str">
        <x:v>EP05</x:v>
      </x:c>
      <x:c r="C46" s="2" t="str">
        <x:v>Juros compostos e custo de oportunidade</x:v>
      </x:c>
      <x:c r="D46" s="2" t="str">
        <x:v>Como usuário, quero calcular juros compostos e o valor futuro hipotético de um gasto não realizado para comparar cenários de investimento e consumo.</x:v>
      </x:c>
      <x:c r="E46" s="2" t="str">
        <x:v>RF51</x:v>
      </x:c>
      <x:c r="F46" s="2" t="str">
        <x:v>Principal</x:v>
      </x:c>
      <x:c r="G46" s="2" t="str">
        <x:v>Um recurso de "análise de custo de oportunidade" deve ser implementado, mostrando ao usuário o quanto um gasto presente poderia se tornar no futuro se fosse investido.</x:v>
      </x:c>
      <x:c r="H46" s="2" t="str">
        <x:v>Nenhuma (fundação/independente)</x:v>
      </x:c>
      <x:c r="I46" s="2" t="str">
        <x:v>Media</x:v>
      </x:c>
      <x:c r="J46" s="2"/>
    </x:row>
    <x:row r="47" ht="27.600000381469727">
      <x:c r="A47" s="2" t="str">
        <x:v>US32</x:v>
      </x:c>
      <x:c r="B47" s="2" t="str">
        <x:v>EP04</x:v>
      </x:c>
      <x:c r="C47" s="2" t="str">
        <x:v>Previsão de saldo e fluxo de caixa</x:v>
      </x:c>
      <x:c r="D47" s="2" t="str">
        <x:v>Como usuário, quero visualizar a projeção de entradas, saídas e saldo futuro para antecipar meu fluxo de caixa de curto prazo.</x:v>
      </x:c>
      <x:c r="E47" s="2" t="str">
        <x:v>RF14</x:v>
      </x:c>
      <x:c r="F47" s="2" t="str">
        <x:v>Principal</x:v>
      </x:c>
      <x:c r="G47" s="2" t="str">
        <x:v>O Orca Finance deve oferecer uma visão preditiva, analisando os padrões de gastos para estimar o saldo no final do mês, com base nas despesas e receitas programadas.</x:v>
      </x:c>
      <x:c r="H47" s="2" t="str">
        <x:v>US01, US24</x:v>
      </x:c>
      <x:c r="I47" s="2" t="str">
        <x:v>Media</x:v>
      </x:c>
      <x:c r="J47" s="2"/>
    </x:row>
    <x:row r="48" ht="41.400001525878906">
      <x:c r="A48" s="2" t="str">
        <x:v>US32</x:v>
      </x:c>
      <x:c r="B48" s="2" t="str">
        <x:v>EP04</x:v>
      </x:c>
      <x:c r="C48" s="2" t="str">
        <x:v>Previsão de saldo e fluxo de caixa</x:v>
      </x:c>
      <x:c r="D48" s="2" t="str">
        <x:v>Como usuário, quero visualizar a projeção de entradas, saídas e saldo futuro para antecipar meu fluxo de caixa de curto prazo.</x:v>
      </x:c>
      <x:c r="E48" s="2" t="str">
        <x:v>RF38</x:v>
      </x:c>
      <x:c r="F48" s="2" t="str">
        <x:v>Principal</x:v>
      </x:c>
      <x:c r="G48" s="2" t="str">
        <x:v>O sistema deve fornecer uma visão clara do fluxo de caixa, apresentando uma projeção de entradas e saídas de dinheiro para os próximos 30 dias, com base em dados recorrentes e agendados.</x:v>
      </x:c>
      <x:c r="H48" s="2" t="str">
        <x:v>US01, US24</x:v>
      </x:c>
      <x:c r="I48" s="2" t="str">
        <x:v>Media</x:v>
      </x:c>
      <x:c r="J48" s="2"/>
    </x:row>
    <x:row r="49" ht="41.400001525878906">
      <x:c r="A49" s="2" t="str">
        <x:v>US33</x:v>
      </x:c>
      <x:c r="B49" s="2" t="str">
        <x:v>EP01</x:v>
      </x:c>
      <x:c r="C49" s="2" t="str">
        <x:v>Finanças compartilhadas</x:v>
      </x:c>
      <x:c r="D49" s="2" t="str">
        <x:v>Como usuário, quero marcar uma transação como compartilhada e distribuir seu valor entre os envolvidos para saber a responsabilidade de cada pessoa.</x:v>
      </x:c>
      <x:c r="E49" s="2" t="str">
        <x:v>RF39</x:v>
      </x:c>
      <x:c r="F49" s="2" t="str">
        <x:v>Principal</x:v>
      </x:c>
      <x:c r="G49" s="2" t="str">
        <x:v>Para lidar com finanças compartilhadas, o aplicativo deve permitir que o usuário marque uma transação como "compartilhada" e calcule a parte que cabe a cada envolvido.</x:v>
      </x:c>
      <x:c r="H49" s="2" t="str">
        <x:v>US01</x:v>
      </x:c>
      <x:c r="I49" s="2" t="str">
        <x:v>Baixa</x:v>
      </x:c>
      <x:c r="J49" s="2"/>
    </x:row>
    <x:row r="50" ht="55.20000076293945">
      <x:c r="A50" s="2" t="str">
        <x:v>US34</x:v>
      </x:c>
      <x:c r="B50" s="2" t="str">
        <x:v>EP01</x:v>
      </x:c>
      <x:c r="C50" s="2" t="str">
        <x:v>Gastos por localização e categorização pelo estabelecimento</x:v>
      </x:c>
      <x:c r="D50" s="2" t="str">
        <x:v>Como usuário, quero visualizar um painel de gastos por localização e que o aplicativo utilize o GPS do telefone para categorizar gastos com base no estabelecimento da compra, para organizar e compreender melhor onde meu dinheiro é gasto.</x:v>
      </x:c>
      <x:c r="E50" s="2" t="str">
        <x:v>RF41</x:v>
      </x:c>
      <x:c r="F50" s="2" t="str">
        <x:v>Principal</x:v>
      </x:c>
      <x:c r="G50" s="2" t="str">
        <x:v>Um painel de "gastos por localização" deve ser implementado, utilizando o GPS do telefone para categorizar gastos com base no estabelecimento onde a compra foi realizada.</x:v>
      </x:c>
      <x:c r="H50" s="2" t="str">
        <x:v>US01</x:v>
      </x:c>
      <x:c r="I50" s="2" t="str">
        <x:v>Baixa</x:v>
      </x:c>
      <x:c r="J50" s="2"/>
    </x:row>
    <x:row r="51" ht="41.400001525878906">
      <x:c r="A51" s="2" t="str">
        <x:v>US35</x:v>
      </x:c>
      <x:c r="B51" s="2" t="str">
        <x:v>EP04</x:v>
      </x:c>
      <x:c r="C51" s="2" t="str">
        <x:v>Tendências de gastos</x:v>
      </x:c>
      <x:c r="D51" s="2" t="str">
        <x:v>Como usuário, quero visualizar se meus gastos por categoria estão aumentando, diminuindo ou permanecendo estáveis ao longo do tempo para identificar mudanças de comportamento.</x:v>
      </x:c>
      <x:c r="E51" s="2" t="str">
        <x:v>RF44</x:v>
      </x:c>
      <x:c r="F51" s="2" t="str">
        <x:v>Principal</x:v>
      </x:c>
      <x:c r="G51" s="2" t="str">
        <x:v>O aplicativo deve fornecer uma análise de tendências, mostrando se os gastos do usuário em cada categoria estão aumentando, diminuindo ou se mantendo estáveis ao longo dos meses.</x:v>
      </x:c>
      <x:c r="H51" s="2" t="str">
        <x:v>US01, US05</x:v>
      </x:c>
      <x:c r="I51" s="2" t="str">
        <x:v>Media</x:v>
      </x:c>
      <x:c r="J51" s="2"/>
    </x:row>
    <x:row r="52" ht="27.600000381469727">
      <x:c r="A52" s="2" t="str">
        <x:v>US36</x:v>
      </x:c>
      <x:c r="B52" s="2" t="str">
        <x:v>EP07</x:v>
      </x:c>
      <x:c r="C52" s="2" t="str">
        <x:v>Atalho de acesso rápido</x:v>
      </x:c>
      <x:c r="D52" s="2" t="str">
        <x:v>Como usuário, quero abrir diretamente a tela de nova transação por um atalho na tela inicial do Android para registrar gastos com menos passos.</x:v>
      </x:c>
      <x:c r="E52" s="2" t="str">
        <x:v>RF45</x:v>
      </x:c>
      <x:c r="F52" s="2" t="str">
        <x:v>Principal</x:v>
      </x:c>
      <x:c r="G52" s="2" t="str">
        <x:v>Para um registro mais rápido, o aplicativo deve permitir a criação de um atalho na tela inicial do Android que abre diretamente a tela de registro de uma nova transação.</x:v>
      </x:c>
      <x:c r="H52" s="2" t="str">
        <x:v>US01</x:v>
      </x:c>
      <x:c r="I52" s="2" t="str">
        <x:v>Baixa</x:v>
      </x:c>
      <x:c r="J52" s="2"/>
    </x:row>
    <x:row r="53" ht="41.400001525878906">
      <x:c r="A53" s="2" t="str">
        <x:v>US37</x:v>
      </x:c>
      <x:c r="B53" s="2" t="str">
        <x:v>EP07</x:v>
      </x:c>
      <x:c r="C53" s="2" t="str">
        <x:v>Bloqueio de acesso</x:v>
      </x:c>
      <x:c r="D53" s="2" t="str">
        <x:v>Como usuário, quero proteger o acesso local ao aplicativo por biometria ou PIN para manter meus dados financeiros seguros.</x:v>
      </x:c>
      <x:c r="E53" s="2" t="str">
        <x:v>RF48</x:v>
      </x:c>
      <x:c r="F53" s="2" t="str">
        <x:v>Principal</x:v>
      </x:c>
      <x:c r="G53" s="2" t="str">
        <x:v>Para proteger os dados sensíveis, o aplicativo deve oferecer a opção de bloqueio por biometria (impressão digital ou reconhecimento facial) ou por um PIN, utilizando as APIs de autenticação do Android.</x:v>
      </x:c>
      <x:c r="H53" s="2" t="str">
        <x:v>Nenhuma (fundação/independente)</x:v>
      </x:c>
      <x:c r="I53" s="2" t="str">
        <x:v>Alta</x:v>
      </x:c>
      <x:c r="J53" s="2"/>
    </x:row>
    <x:row r="54" ht="41.400001525878906">
      <x:c r="A54" s="2" t="str">
        <x:v>US38</x:v>
      </x:c>
      <x:c r="B54" s="2" t="str">
        <x:v>EP03</x:v>
      </x:c>
      <x:c r="C54" s="2" t="str">
        <x:v>Diário de consumo</x:v>
      </x:c>
      <x:c r="D54" s="2" t="str">
        <x:v>Como usuário, quero registrar livremente minhas motivações para comprar algo em um diário de consumo para refletir sobre meus hábitos e decisões de compra.</x:v>
      </x:c>
      <x:c r="E54" s="2" t="str">
        <x:v>RF59</x:v>
      </x:c>
      <x:c r="F54" s="2" t="str">
        <x:v>Principal</x:v>
      </x:c>
      <x:c r="G54" s="2" t="str">
        <x:v>O aplicativo deve permitir a criação de um "diário de consumo", onde o usuário pode escrever livremente sobre suas motivações para comprar algo, ajudando na autorreflexão.</x:v>
      </x:c>
      <x:c r="H54" s="2" t="str">
        <x:v>Nenhuma (fundação/independente)</x:v>
      </x:c>
      <x:c r="I54" s="2" t="str">
        <x:v>Baixa</x:v>
      </x:c>
      <x:c r="J54" s="2"/>
    </x:row>
    <x:row r="55" ht="41.400001525878906">
      <x:c r="A55" s="2" t="str">
        <x:v>US39</x:v>
      </x:c>
      <x:c r="B55" s="2" t="str">
        <x:v>EP04</x:v>
      </x:c>
      <x:c r="C55" s="2" t="str">
        <x:v>Pegada de carbono do consumo</x:v>
      </x:c>
      <x:c r="D55" s="2" t="str">
        <x:v>Como usuário, quero visualizar uma estimativa da pegada de carbono associada aos meus padrões de consumo para compreender seu impacto ambiental.</x:v>
      </x:c>
      <x:c r="E55" s="2" t="str">
        <x:v>RF53</x:v>
      </x:c>
      <x:c r="F55" s="2" t="str">
        <x:v>Principal</x:v>
      </x:c>
      <x:c r="G55" s="2" t="str">
        <x:v>Para promover a sustentabilidade, o aplicativo deve calcular e exibir a "pegada de carbono" estimada com base nos padrões de consumo do usuário (ex: gastos com combustível, energia).</x:v>
      </x:c>
      <x:c r="H55" s="2" t="str">
        <x:v>US01, US05</x:v>
      </x:c>
      <x:c r="I55" s="2" t="str">
        <x:v>Baixa</x:v>
      </x:c>
      <x:c r="J55" s="2"/>
    </x:row>
    <x:row r="56" ht="41.400001525878906">
      <x:c r="A56" s="2" t="str">
        <x:v>US40</x:v>
      </x:c>
      <x:c r="B56" s="2" t="str">
        <x:v>EP02</x:v>
      </x:c>
      <x:c r="C56" s="2" t="str">
        <x:v>Comparação orçado x realizado</x:v>
      </x:c>
      <x:c r="D56" s="2" t="str">
        <x:v>Como usuário, quero comparar o orçamento planejado com os gastos realizados para identificar desvios e as categorias que mais contribuíram para eles.</x:v>
      </x:c>
      <x:c r="E56" s="2" t="str">
        <x:v>RF55</x:v>
      </x:c>
      <x:c r="F56" s="2" t="str">
        <x:v>Principal</x:v>
      </x:c>
      <x:c r="G56" s="2" t="str">
        <x:v>O aplicativo deve fornecer uma funcionalidade para comparar o orçamento planejado com o realizado, destacando as variações e as categorias que mais contribuíram para a diferença.</x:v>
      </x:c>
      <x:c r="H56" s="2" t="str">
        <x:v>US01, US06</x:v>
      </x:c>
      <x:c r="I56" s="2" t="str">
        <x:v>Media</x:v>
      </x:c>
      <x:c r="J56" s="2"/>
    </x:row>
    <x:row r="57" ht="41.400001525878906">
      <x:c r="A57" s="2" t="str">
        <x:v>US41</x:v>
      </x:c>
      <x:c r="B57" s="2" t="str">
        <x:v>EP07</x:v>
      </x:c>
      <x:c r="C57" s="2" t="str">
        <x:v>Modo pausa financeira</x:v>
      </x:c>
      <x:c r="D57" s="2" t="str">
        <x:v>Como usuário, quero ativar um modo que permita somente visualização por um período planejado para evitar alterações ou novos registros durante a pausa.</x:v>
      </x:c>
      <x:c r="E57" s="2" t="str">
        <x:v>RF56</x:v>
      </x:c>
      <x:c r="F57" s="2" t="str">
        <x:v>Principal</x:v>
      </x:c>
      <x:c r="G57" s="2" t="str">
        <x:v>Um modo "avião financeiro" deve ser implementado para bloquear temporariamente o acesso a todas as funções do aplicativo, exceto a visualização, para momentos de pausa planejada.</x:v>
      </x:c>
      <x:c r="H57" s="2" t="str">
        <x:v>Nenhuma (fundação/independente)</x:v>
      </x:c>
      <x:c r="I57" s="2" t="str">
        <x:v>Baixa</x:v>
      </x:c>
      <x:c r="J57" s="2"/>
    </x:row>
    <x:row r="58" ht="41.400001525878906">
      <x:c r="A58" s="2" t="str">
        <x:v>US42</x:v>
      </x:c>
      <x:c r="B58" s="2" t="str">
        <x:v>EP06</x:v>
      </x:c>
      <x:c r="C58" s="2" t="str">
        <x:v>Importação de dados financeiros</x:v>
      </x:c>
      <x:c r="D58" s="2" t="str">
        <x:v>Como usuário, quero importar transações de CSV ou extrato em formato predefinido para evitar o registro manual de informações já existentes.</x:v>
      </x:c>
      <x:c r="E58" s="2" t="str">
        <x:v>RF61</x:v>
      </x:c>
      <x:c r="F58" s="2" t="str">
        <x:v>Principal</x:v>
      </x:c>
      <x:c r="G58" s="2" t="str">
        <x:v>O usuário deve poder importar dados financeiros de um arquivo CSV ou de um extrato bancário, desde que siga um formato predefinido, para não precisar registrar tudo manualmente.</x:v>
      </x:c>
      <x:c r="H58" s="2" t="str">
        <x:v>US01</x:v>
      </x:c>
      <x:c r="I58" s="2" t="str">
        <x:v>Media</x:v>
      </x:c>
      <x:c r="J58" s="2"/>
    </x:row>
    <x:row r="59" ht="41.400001525878906">
      <x:c r="A59" s="2" t="str">
        <x:v>US43</x:v>
      </x:c>
      <x:c r="B59" s="2" t="str">
        <x:v>EP07</x:v>
      </x:c>
      <x:c r="C59" s="2" t="str">
        <x:v>Modo de apresentação e privacidade</x:v>
      </x:c>
      <x:c r="D59" s="2" t="str">
        <x:v>Como usuário, quero ocultar valores monetários e exibir apenas progresso percentual para apresentar informações financeiras sem expor valores sensíveis.</x:v>
      </x:c>
      <x:c r="E59" s="2" t="str">
        <x:v>RF67</x:v>
      </x:c>
      <x:c r="F59" s="2" t="str">
        <x:v>Principal</x:v>
      </x:c>
      <x:c r="G59" s="2" t="str">
        <x:v>O sistema deve oferecer a opção de "modo de apresentação", que oculta valores monetários e exibe apenas o progresso em porcentagem para compartilhar com outras pessoas.</x:v>
      </x:c>
      <x:c r="H59" s="2" t="str">
        <x:v>Nenhuma dependência funcional definida</x:v>
      </x:c>
      <x:c r="I59" s="2" t="str">
        <x:v>Media</x:v>
      </x:c>
      <x:c r="J59" s="2"/>
    </x:row>
    <x:row r="60" ht="41.400001525878906">
      <x:c r="A60" s="2" t="str">
        <x:v>US44</x:v>
      </x:c>
      <x:c r="B60" s="2" t="str">
        <x:v>EP01</x:v>
      </x:c>
      <x:c r="C60" s="2" t="str">
        <x:v>Reversão de transação</x:v>
      </x:c>
      <x:c r="D60" s="2" t="str">
        <x:v>Como usuário, quero reverter uma transação registrada por engano sem manter seu efeito nos cálculos, preservando a rastreabilidade da exclusão para corrigir meu histórico com segurança.</x:v>
      </x:c>
      <x:c r="E60" s="2" t="str">
        <x:v>RF40</x:v>
      </x:c>
      <x:c r="F60" s="2" t="str">
        <x:v>Principal</x:v>
      </x:c>
      <x:c r="G60" s="2" t="str">
        <x:v>O aplicativo deve oferecer uma funcionalidade para reverter uma transação, caso o usuário a tenha registrado por engano, com um fluxo claro para fazer a correção.</x:v>
      </x:c>
      <x:c r="H60" s="2" t="str">
        <x:v>US01, US04</x:v>
      </x:c>
      <x:c r="I60" s="2" t="str">
        <x:v>Alta</x:v>
      </x:c>
      <x:c r="J60" s="2"/>
    </x:row>
    <x:row r="61" ht="27.600000381469727">
      <x:c r="A61" s="2" t="str">
        <x:v>US45</x:v>
      </x:c>
      <x:c r="B61" s="2" t="str">
        <x:v>EP02</x:v>
      </x:c>
      <x:c r="C61" s="2" t="str">
        <x:v>Cota de gastos livres</x:v>
      </x:c>
      <x:c r="D61" s="2" t="str">
        <x:v>Como usuário, quero definir uma cota mensal de gastos livres sem categorização para manter flexibilidade dentro do meu planejamento.</x:v>
      </x:c>
      <x:c r="E61" s="2" t="str">
        <x:v>RF57</x:v>
      </x:c>
      <x:c r="F61" s="2" t="str">
        <x:v>Principal</x:v>
      </x:c>
      <x:c r="G61" s="2" t="str">
        <x:v>O sistema deve permitir que o usuário defina uma "cota de gastos livres", um valor mensal que pode ser gasto sem categorização, para dar flexibilidade ao orçamento.</x:v>
      </x:c>
      <x:c r="H61" s="2" t="str">
        <x:v>US01, US06</x:v>
      </x:c>
      <x:c r="I61" s="2" t="str">
        <x:v>Media</x:v>
      </x:c>
      <x:c r="J61" s="2"/>
    </x:row>
    <x:row r="62" ht="41.400001525878906">
      <x:c r="A62" s="2" t="str">
        <x:v>US46</x:v>
      </x:c>
      <x:c r="B62" s="2" t="str">
        <x:v>EP03</x:v>
      </x:c>
      <x:c r="C62" s="2" t="str">
        <x:v>Aplicativos gatilho e reflexão</x:v>
      </x:c>
      <x:c r="D62" s="2" t="str">
        <x:v>Como usuário, quero configurar aplicativos gatilho para receber uma pergunta reflexiva quando eu os abrir e reduzir compras por impulso.</x:v>
      </x:c>
      <x:c r="E62" s="2" t="str">
        <x:v>RF18</x:v>
      </x:c>
      <x:c r="F62" s="2" t="str">
        <x:v>Principal</x:v>
      </x:c>
      <x:c r="G62" s="2" t="str">
        <x:v>Para combater compras impulsivas em aplicativos de comércio eletrônico, o sistema deve permitir ao usuário configurar uma lista de aplicativos "gatilho" que, quando abertos, disparam uma notificação com uma pergunta reflexiva sobre a necessidade da compra.</x:v>
      </x:c>
      <x:c r="H62" s="2" t="str">
        <x:v>Nenhuma (fundação/independente)</x:v>
      </x:c>
      <x:c r="I62" s="2" t="str">
        <x:v>Baixa</x:v>
      </x:c>
      <x:c r="J62" s="2"/>
    </x:row>
    <x:row r="63" ht="41.400001525878906">
      <x:c r="A63" s="2" t="str">
        <x:v>US47</x:v>
      </x:c>
      <x:c r="B63" s="2" t="str">
        <x:v>EP03</x:v>
      </x:c>
      <x:c r="C63" s="2" t="str">
        <x:v>Conquistas e certificado de desafios</x:v>
      </x:c>
      <x:c r="D63" s="2" t="str">
        <x:v>Como usuário, quero receber distintivos e um certificado quando eu alcançar conquistas ou concluir desafios para registrar e compartilhar meu progresso.</x:v>
      </x:c>
      <x:c r="E63" s="2" t="str">
        <x:v>RF47</x:v>
      </x:c>
      <x:c r="F63" s="2" t="str">
        <x:v>Principal</x:v>
      </x:c>
      <x:c r="G63" s="2" t="str">
        <x:v>O aplicativo deve gerar um "certificado de economia" ao final de um desafio bem-sucedido, que pode ser compartilhado em redes sociais ou guardado como registro.</x:v>
      </x:c>
      <x:c r="H63" s="2" t="str">
        <x:v>US17, US59</x:v>
      </x:c>
      <x:c r="I63" s="2" t="str">
        <x:v>Baixa</x:v>
      </x:c>
      <x:c r="J63" s="2"/>
    </x:row>
    <x:row r="64" ht="41.400001525878906">
      <x:c r="A64" s="2" t="str">
        <x:v>US47</x:v>
      </x:c>
      <x:c r="B64" s="2" t="str">
        <x:v>EP03</x:v>
      </x:c>
      <x:c r="C64" s="2" t="str">
        <x:v>Conquistas e certificado de desafios</x:v>
      </x:c>
      <x:c r="D64" s="2" t="str">
        <x:v>Como usuário, quero receber distintivos e um certificado quando eu alcançar conquistas ou concluir desafios para registrar e compartilhar meu progresso.</x:v>
      </x:c>
      <x:c r="E64" s="2" t="str">
        <x:v>RF69</x:v>
      </x:c>
      <x:c r="F64" s="2" t="str">
        <x:v>Principal</x:v>
      </x:c>
      <x:c r="G64" s="2" t="str">
        <x:v>O aplicativo deve implementar um sistema de conquistas (gamificação), onde o usuário ganha distintivos por ações como economizar por um mês seguido ou completar um desafio.</x:v>
      </x:c>
      <x:c r="H64" s="2" t="str">
        <x:v>US17, US59</x:v>
      </x:c>
      <x:c r="I64" s="2" t="str">
        <x:v>Baixa</x:v>
      </x:c>
      <x:c r="J64" s="2"/>
    </x:row>
    <x:row r="65" ht="41.400001525878906">
      <x:c r="A65" s="2" t="str">
        <x:v>US48</x:v>
      </x:c>
      <x:c r="B65" s="2" t="str">
        <x:v>EP06</x:v>
      </x:c>
      <x:c r="C65" s="2" t="str">
        <x:v>Sugestão inteligente de categoria</x:v>
      </x:c>
      <x:c r="D65" s="2" t="str">
        <x:v>Como usuário, quero receber sugestões de categoria com base no meu histórico de descrições semelhantes para categorizar novas despesas com menos esforço.</x:v>
      </x:c>
      <x:c r="E65" s="2" t="str">
        <x:v>RF33</x:v>
      </x:c>
      <x:c r="F65" s="2" t="str">
        <x:v>Principal</x:v>
      </x:c>
      <x:c r="G65" s="2" t="str">
        <x:v>Para categorizar transações automaticamente, o sistema deve aprender com as ações do usuário, sugerindo a categoria correta para uma nova despesa baseada em descrições anteriores semelhantes.</x:v>
      </x:c>
      <x:c r="H65" s="2" t="str">
        <x:v>US01, US05</x:v>
      </x:c>
      <x:c r="I65" s="2" t="str">
        <x:v>Media</x:v>
      </x:c>
      <x:c r="J65" s="2"/>
    </x:row>
    <x:row r="66" ht="27.600000381469727">
      <x:c r="A66" s="2" t="str">
        <x:v>US49</x:v>
      </x:c>
      <x:c r="B66" s="2" t="str">
        <x:v>EP08</x:v>
      </x:c>
      <x:c r="C66" s="2" t="str">
        <x:v>Jogo de simulação financeira</x:v>
      </x:c>
      <x:c r="D66" s="2" t="str">
        <x:v>Como usuário, quero tomar decisões em cenários financeiros simulados e observar suas consequências para aprender sobre escolhas de consumo.</x:v>
      </x:c>
      <x:c r="E66" s="2" t="str">
        <x:v>RF43</x:v>
      </x:c>
      <x:c r="F66" s="2" t="str">
        <x:v>Principal</x:v>
      </x:c>
      <x:c r="G66" s="2" t="str">
        <x:v>O Orca Finance deve incluir um jogo de simulação onde o usuário toma decisões financeiras em cenários hipotéticos para aprender sobre consequências de escolhas de consumo.</x:v>
      </x:c>
      <x:c r="H66" s="2" t="str">
        <x:v>Nenhuma (fundação/independente)</x:v>
      </x:c>
      <x:c r="I66" s="2" t="str">
        <x:v>Baixa</x:v>
      </x:c>
      <x:c r="J66" s="2"/>
    </x:row>
    <x:row r="67" ht="41.400001525878906">
      <x:c r="A67" s="2" t="str">
        <x:v>US50</x:v>
      </x:c>
      <x:c r="B67" s="2" t="str">
        <x:v>EP04</x:v>
      </x:c>
      <x:c r="C67" s="2" t="str">
        <x:v>Indicador de saúde financeira</x:v>
      </x:c>
      <x:c r="D67" s="2" t="str">
        <x:v>Como usuário, quero visualizar uma pontuação de saúde financeira baseada nas métricas definidas pelo produto para entender minha situação geral.</x:v>
      </x:c>
      <x:c r="E67" s="2" t="str">
        <x:v>RF62</x:v>
      </x:c>
      <x:c r="F67" s="2" t="str">
        <x:v>Principal</x:v>
      </x:c>
      <x:c r="G67" s="2" t="str">
        <x:v>O aplicativo deve exibir um indicador de "saúde financeira", uma pontuação calculada com base em múltiplas métricas, como dívidas, poupança e controle de gastos.</x:v>
      </x:c>
      <x:c r="H67" s="2" t="str">
        <x:v>US25</x:v>
      </x:c>
      <x:c r="I67" s="2" t="str">
        <x:v>Media</x:v>
      </x:c>
      <x:c r="J67" s="2"/>
    </x:row>
    <x:row r="68" ht="41.400001525878906">
      <x:c r="A68" s="2" t="str">
        <x:v>US51</x:v>
      </x:c>
      <x:c r="B68" s="2" t="str">
        <x:v>EP05</x:v>
      </x:c>
      <x:c r="C68" s="2" t="str">
        <x:v>Planejador de grandes compras</x:v>
      </x:c>
      <x:c r="D68" s="2" t="str">
        <x:v>Como usuário, quero criar um plano de economia para uma compra de alto valor com parcelas mensais compatíveis com meu orçamento para saber como alcançar esse objetivo.</x:v>
      </x:c>
      <x:c r="E68" s="2" t="str">
        <x:v>RF37</x:v>
      </x:c>
      <x:c r="F68" s="2" t="str">
        <x:v>Principal</x:v>
      </x:c>
      <x:c r="G68" s="2" t="str">
        <x:v>Um recurso de "planejador de grandes compras" deve ajudar o usuário a criar um plano de economia para um bem de alto valor, dividindo o custo total em parcelas mensais que caibam em seu orçamento.</x:v>
      </x:c>
      <x:c r="H68" s="2" t="str">
        <x:v>US06</x:v>
      </x:c>
      <x:c r="I68" s="2" t="str">
        <x:v>Media</x:v>
      </x:c>
      <x:c r="J68" s="2"/>
    </x:row>
    <x:row r="69" ht="41.400001525878906">
      <x:c r="A69" s="2" t="str">
        <x:v>US52</x:v>
      </x:c>
      <x:c r="B69" s="2" t="str">
        <x:v>EP02</x:v>
      </x:c>
      <x:c r="C69" s="2" t="str">
        <x:v>Regras de gastos</x:v>
      </x:c>
      <x:c r="D69" s="2" t="str">
        <x:v>Como usuário, quero criar regras de gastos baseadas em limites proporcionais e ser alertado quando elas forem violadas para controlar meu comportamento financeiro.</x:v>
      </x:c>
      <x:c r="E69" s="2" t="str">
        <x:v>RF71</x:v>
      </x:c>
      <x:c r="F69" s="2" t="str">
        <x:v>Principal</x:v>
      </x:c>
      <x:c r="G69" s="2" t="str">
        <x:v>O sistema deve permitir a criação de "regras de gastos", como "gastos com lazer não podem exceder 10% da renda mensal", e alertar o usuário quando a regra for violada</x:v>
      </x:c>
      <x:c r="H69" s="2" t="str">
        <x:v>US01, US05</x:v>
      </x:c>
      <x:c r="I69" s="2" t="str">
        <x:v>Media</x:v>
      </x:c>
      <x:c r="J69" s="2"/>
    </x:row>
    <x:row r="70" ht="41.400001525878906">
      <x:c r="A70" s="2" t="str">
        <x:v>US53</x:v>
      </x:c>
      <x:c r="B70" s="2" t="str">
        <x:v>EP04</x:v>
      </x:c>
      <x:c r="C70" s="2" t="str">
        <x:v>Resumo financeiro mensal em PDF</x:v>
      </x:c>
      <x:c r="D70" s="2" t="str">
        <x:v>Como usuário, quero configurar e obter um resumo financeiro mensal em formato PDF, com opção de salvar ou compartilhar, para consultar minhas informações financeiras fora do aplicativo.</x:v>
      </x:c>
      <x:c r="E70" s="2" t="str">
        <x:v>RF68</x:v>
      </x:c>
      <x:c r="F70" s="2" t="str">
        <x:v>Principal</x:v>
      </x:c>
      <x:c r="G70" s="2" t="str">
        <x:v>O usuário deve poder configurar o aplicativo para receber um resumo financeiro mensal em formato de relatório PDF, que pode ser salvo ou compartilhado.</x:v>
      </x:c>
      <x:c r="H70" s="2" t="str">
        <x:v>US01</x:v>
      </x:c>
      <x:c r="I70" s="2" t="str">
        <x:v>Media</x:v>
      </x:c>
      <x:c r="J70" s="2"/>
    </x:row>
    <x:row r="71" ht="41.400001525878906">
      <x:c r="A71" s="2" t="str">
        <x:v>US54</x:v>
      </x:c>
      <x:c r="B71" s="2" t="str">
        <x:v>EP04</x:v>
      </x:c>
      <x:c r="C71" s="2" t="str">
        <x:v>Resumo semanal por notificação</x:v>
      </x:c>
      <x:c r="D71" s="2" t="str">
        <x:v>Como usuário, quero receber por notificação push um resumo semanal que destaque meus maiores gastos e o progresso em relação ao orçamento para acompanhar minha situação financeira regularmente.</x:v>
      </x:c>
      <x:c r="E71" s="2" t="str">
        <x:v>RF26</x:v>
      </x:c>
      <x:c r="F71" s="2" t="str">
        <x:v>Principal</x:v>
      </x:c>
      <x:c r="G71" s="2" t="str">
        <x:v>O sistema deve fornecer um "resumo semanal" dos gastos, enviado por notificação push, que destaca os maiores gastos e o progresso em relação ao orçamento.</x:v>
      </x:c>
      <x:c r="H71" s="2" t="str">
        <x:v>US01, US06</x:v>
      </x:c>
      <x:c r="I71" s="2" t="str">
        <x:v>Media</x:v>
      </x:c>
      <x:c r="J71" s="2"/>
    </x:row>
    <x:row r="72" ht="41.400001525878906">
      <x:c r="A72" s="2" t="str">
        <x:v>US55</x:v>
      </x:c>
      <x:c r="B72" s="2" t="str">
        <x:v>EP06</x:v>
      </x:c>
      <x:c r="C72" s="2" t="str">
        <x:v>Digitalização de recibos por OCR</x:v>
      </x:c>
      <x:c r="D72" s="2" t="str">
        <x:v>Como usuário, quero digitalizar um recibo com a câmera e utilizar OCR para extrair automaticamente dados como valor, data e estabelecimento, reduzindo o preenchimento manual da despesa.</x:v>
      </x:c>
      <x:c r="E72" s="2" t="str">
        <x:v>RF29</x:v>
      </x:c>
      <x:c r="F72" s="2" t="str">
        <x:v>Principal</x:v>
      </x:c>
      <x:c r="G72" s="2" t="str">
        <x:v>O aplicativo deve incluir um recurso para digitalizar recibos usando a câmera, utilizando uma biblioteca de reconhecimento óptico de caracteres (OCR) para extrair automaticamente dados como valor, data e estabelecimento.</x:v>
      </x:c>
      <x:c r="H72" s="2" t="str">
        <x:v>US19</x:v>
      </x:c>
      <x:c r="I72" s="2" t="str">
        <x:v>Baixa</x:v>
      </x:c>
      <x:c r="J72" s="2"/>
    </x:row>
    <x:row r="73" ht="41.400001525878906">
      <x:c r="A73" s="2" t="str">
        <x:v>US56</x:v>
      </x:c>
      <x:c r="B73" s="2" t="str">
        <x:v>EP08</x:v>
      </x:c>
      <x:c r="C73" s="2" t="str">
        <x:v>Feed de notícias financeiras</x:v>
      </x:c>
      <x:c r="D73" s="2" t="str">
        <x:v>Como usuário, quero acessar um feed de artigos relevantes sobre economia e mercado obtidos por uma API de notícias financeiras para acompanhar informações do cenário financeiro.</x:v>
      </x:c>
      <x:c r="E73" s="2" t="str">
        <x:v>RF49</x:v>
      </x:c>
      <x:c r="F73" s="2" t="str">
        <x:v>Principal</x:v>
      </x:c>
      <x:c r="G73" s="2" t="str">
        <x:v>O sistema deve integrar uma API de notícias financeiras para exibir ao usuário um feed de artigos relevantes sobre economia e mercado.</x:v>
      </x:c>
      <x:c r="H73" s="2" t="str">
        <x:v>Nenhuma dependência funcional definida</x:v>
      </x:c>
      <x:c r="I73" s="2" t="str">
        <x:v>Baixa</x:v>
      </x:c>
      <x:c r="J73" s="2"/>
    </x:row>
    <x:row r="74" ht="41.400001525878906">
      <x:c r="A74" s="2" t="str">
        <x:v>US57</x:v>
      </x:c>
      <x:c r="B74" s="2" t="str">
        <x:v>EP03</x:v>
      </x:c>
      <x:c r="C74" s="2" t="str">
        <x:v>Check-in financeiro e feedback</x:v>
      </x:c>
      <x:c r="D74" s="2" t="str">
        <x:v>Como usuário, quero responder a perguntas sobre meu estado emocional e hábitos de consumo em um check-in financeiro e receber feedback personalizado para refletir sobre meu comportamento.</x:v>
      </x:c>
      <x:c r="E74" s="2" t="str">
        <x:v>RF52</x:v>
      </x:c>
      <x:c r="F74" s="2" t="str">
        <x:v>Principal</x:v>
      </x:c>
      <x:c r="G74" s="2" t="str">
        <x:v>O aplicativo deve oferecer a opção de realizar um "check-in" financeiro, onde o usuário responde a perguntas sobre seu estado emocional e hábitos de consumo, e o sistema oferece um feedback personalizado.</x:v>
      </x:c>
      <x:c r="H74" s="2" t="str">
        <x:v>Nenhuma dependência funcional definida</x:v>
      </x:c>
      <x:c r="I74" s="2" t="str">
        <x:v>Baixa</x:v>
      </x:c>
      <x:c r="J74" s="2"/>
    </x:row>
    <x:row r="75" ht="41.400001525878906">
      <x:c r="A75" s="2" t="str">
        <x:v>US58</x:v>
      </x:c>
      <x:c r="B75" s="2" t="str">
        <x:v>EP04</x:v>
      </x:c>
      <x:c r="C75" s="2" t="str">
        <x:v>Taxa de realização de metas</x:v>
      </x:c>
      <x:c r="D75" s="2" t="str">
        <x:v>Como usuário, quero visualizar a porcentagem de metas de economia cumpridas em um período histórico definido para avaliar minha consistência no alcance de objetivos.</x:v>
      </x:c>
      <x:c r="E75" s="2" t="str">
        <x:v>RF35</x:v>
      </x:c>
      <x:c r="F75" s="2" t="str">
        <x:v>Principal</x:v>
      </x:c>
      <x:c r="G75" s="2" t="str">
        <x:v>O Orca Finance deve implementar um sistema de "taxa de realização de metas", que calcula a porcentagem de metas de economia que o usuário conseguiu cumprir nos últimos meses.</x:v>
      </x:c>
      <x:c r="H75" s="2" t="str">
        <x:v>US10</x:v>
      </x:c>
      <x:c r="I75" s="2" t="str">
        <x:v>Media</x:v>
      </x:c>
      <x:c r="J75" s="2"/>
    </x:row>
    <x:row r="76" ht="41.400001525878906">
      <x:c r="A76" s="2" t="str">
        <x:v>US59</x:v>
      </x:c>
      <x:c r="B76" s="2" t="str">
        <x:v>EP03</x:v>
      </x:c>
      <x:c r="C76" s="2" t="str">
        <x:v>Desafio de despesas essenciais</x:v>
      </x:c>
      <x:c r="D76" s="2" t="str">
        <x:v>Como usuário, quero participar de um desafio para reduzir gastos em uma categoria específica de despesas essenciais e receber sugestões de alternativas mais econômicas para melhorar meus hábitos de consumo.</x:v>
      </x:c>
      <x:c r="E76" s="2" t="str">
        <x:v>RF65</x:v>
      </x:c>
      <x:c r="F76" s="2" t="str">
        <x:v>Principal</x:v>
      </x:c>
      <x:c r="G76" s="2" t="str">
        <x:v>Um recurso de "desafio de despesas essenciais" deve incentivar o usuário a reduzir gastos em uma categoria específica, sugerindo alternativas mais econômicas.</x:v>
      </x:c>
      <x:c r="H76" s="2" t="str">
        <x:v>US02, US05</x:v>
      </x:c>
      <x:c r="I76" s="2" t="str">
        <x:v>Baixa</x:v>
      </x:c>
      <x:c r="J76" s="2"/>
    </x:row>
    <x:row r="77" ht="100" customHeight="1">
      <x:c r="A77" s="22" t="str">
        <x:v>US60</x:v>
      </x:c>
      <x:c r="B77" s="22" t="str">
        <x:v>EP01</x:v>
      </x:c>
      <x:c r="C77" s="22" t="str">
        <x:v>Cadastro e login de usuário</x:v>
      </x:c>
      <x:c r="D77" s="22" t="str">
        <x:v>Como usuário, quero criar uma conta e me autenticar no aplicativo para acessar de forma segura meus perfis e dados financeiros.</x:v>
      </x:c>
      <x:c r="E77" s="22" t="str">
        <x:v>Sem RF original explícito</x:v>
      </x:c>
      <x:c r="F77" s="22" t="str">
        <x:v>Origem em decisão aprovada</x:v>
      </x:c>
      <x:c r="G77" s="22" t="str">
        <x:v>RN-ID-01 a RN-ID-04. Nenhum RF novo criado.</x:v>
      </x:c>
      <x:c r="H77" s="22" t="str">
        <x:v>Nenhuma (fundação/independente)</x:v>
      </x:c>
      <x:c r="I77" s="22" t="str">
        <x:v>Alta</x:v>
      </x:c>
      <x:c r="J77" s="22" t="str">
        <x:v>Conta/cadastro/login; preservados os 71 RFs originais.</x:v>
      </x:c>
    </x:row>
    <x:row r="78" ht="100" customHeight="1">
      <x:c r="A78" s="22" t="str">
        <x:v>US60</x:v>
      </x:c>
      <x:c r="B78" s="22" t="str">
        <x:v>EP01</x:v>
      </x:c>
      <x:c r="C78" s="22" t="str">
        <x:v>Cadastro e login de usuário</x:v>
      </x:c>
      <x:c r="D78" s="22" t="str">
        <x:v>Como usuário, quero criar uma conta e me autenticar no aplicativo para acessar de forma segura meus perfis e dados financeiros.</x:v>
      </x:c>
      <x:c r="E78" s="22" t="str">
        <x:v>RF08</x:v>
      </x:c>
      <x:c r="F78" s="22" t="str">
        <x:v>Impacto; não cobertura</x:v>
      </x:c>
      <x:c r="G78" s="22" t="str">
        <x:v>Para uma visão holística, o aplicativo deve exibir um painel de controle principal que resume o saldo atual, os gastos do mês, o progresso das metas de economia e um comparativo com o mês anterior.</x:v>
      </x:c>
      <x:c r="H78" s="22" t="str">
        <x:v>Nenhuma (fundação/independente)</x:v>
      </x:c>
      <x:c r="I78" s="22" t="str">
        <x:v>Alta</x:v>
      </x:c>
      <x:c r="J78" s="22" t="str">
        <x:v>Impacto de identidade/perfil inicial nas RN-ID. Não altera a US principal ou complementar do RF.</x:v>
      </x:c>
    </x:row>
    <x:row r="79" ht="100" customHeight="1">
      <x:c r="A79" s="22" t="str">
        <x:v>US60</x:v>
      </x:c>
      <x:c r="B79" s="22" t="str">
        <x:v>EP01</x:v>
      </x:c>
      <x:c r="C79" s="22" t="str">
        <x:v>Cadastro e login de usuário</x:v>
      </x:c>
      <x:c r="D79" s="22" t="str">
        <x:v>Como usuário, quero criar uma conta e me autenticar no aplicativo para acessar de forma segura meus perfis e dados financeiros.</x:v>
      </x:c>
      <x:c r="E79" s="22" t="str">
        <x:v>RF11</x:v>
      </x:c>
      <x:c r="F79" s="22" t="str">
        <x:v>Impacto; não cobertura</x:v>
      </x:c>
      <x:c r="G79" s="22" t="str">
        <x:v>O aplicativo deve suportar múltiplos perfis financeiros, permitindo que o usuário gerencie, por exemplo, uma conta pessoal e uma conta conjunta separadamente.</x:v>
      </x:c>
      <x:c r="H79" s="22" t="str">
        <x:v>Nenhuma (fundação/independente)</x:v>
      </x:c>
      <x:c r="I79" s="22" t="str">
        <x:v>Alta</x:v>
      </x:c>
      <x:c r="J79" s="22" t="str">
        <x:v>Impacto de identidade/perfil inicial nas RN-ID. Não altera a US principal ou complementar do RF.</x:v>
      </x:c>
    </x:row>
    <x:row r="80" ht="100" customHeight="1">
      <x:c r="A80" s="22" t="str">
        <x:v>US60</x:v>
      </x:c>
      <x:c r="B80" s="22" t="str">
        <x:v>EP01</x:v>
      </x:c>
      <x:c r="C80" s="22" t="str">
        <x:v>Cadastro e login de usuário</x:v>
      </x:c>
      <x:c r="D80" s="22" t="str">
        <x:v>Como usuário, quero criar uma conta e me autenticar no aplicativo para acessar de forma segura meus perfis e dados financeiros.</x:v>
      </x:c>
      <x:c r="E80" s="22" t="str">
        <x:v>RF16</x:v>
      </x:c>
      <x:c r="F80" s="22" t="str">
        <x:v>Impacto; não cobertura</x:v>
      </x:c>
      <x:c r="G80" s="22" t="str">
        <x:v>A sincronização dos dados entre diferentes dispositivos deve ser implementada, garantindo que o usuário tenha acesso às suas informações financeiras em qualquer lugar.</x:v>
      </x:c>
      <x:c r="H80" s="22" t="str">
        <x:v>Nenhuma (fundação/independente)</x:v>
      </x:c>
      <x:c r="I80" s="22" t="str">
        <x:v>Alta</x:v>
      </x:c>
      <x:c r="J80" s="22" t="str">
        <x:v>Impacto de identidade/perfil inicial nas RN-ID. Não altera a US principal ou complementar do RF.</x:v>
      </x:c>
    </x:row>
    <x:row r="81" ht="100" customHeight="1">
      <x:c r="A81" s="22" t="str">
        <x:v>US60</x:v>
      </x:c>
      <x:c r="B81" s="22" t="str">
        <x:v>EP01</x:v>
      </x:c>
      <x:c r="C81" s="22" t="str">
        <x:v>Cadastro e login de usuário</x:v>
      </x:c>
      <x:c r="D81" s="22" t="str">
        <x:v>Como usuário, quero criar uma conta e me autenticar no aplicativo para acessar de forma segura meus perfis e dados financeiros.</x:v>
      </x:c>
      <x:c r="E81" s="22" t="str">
        <x:v>RF17</x:v>
      </x:c>
      <x:c r="F81" s="22" t="str">
        <x:v>Impacto; não cobertura</x:v>
      </x:c>
      <x:c r="G81" s="22" t="str">
        <x:v>O aplicativo deve integrar uma API de conversão de moedas para permitir que o usuário registre gastos em diferentes moedas, que serão automaticamente convertidas para a moeda base do perfil.</x:v>
      </x:c>
      <x:c r="H81" s="22" t="str">
        <x:v>Nenhuma (fundação/independente)</x:v>
      </x:c>
      <x:c r="I81" s="22" t="str">
        <x:v>Alta</x:v>
      </x:c>
      <x:c r="J81" s="22" t="str">
        <x:v>Impacto de identidade/perfil inicial nas RN-ID. Não altera a US principal ou complementar do RF.</x:v>
      </x:c>
    </x:row>
    <x:row r="82" ht="100" customHeight="1">
      <x:c r="A82" s="22" t="str">
        <x:v>US60</x:v>
      </x:c>
      <x:c r="B82" s="22" t="str">
        <x:v>EP01</x:v>
      </x:c>
      <x:c r="C82" s="22" t="str">
        <x:v>Cadastro e login de usuário</x:v>
      </x:c>
      <x:c r="D82" s="22" t="str">
        <x:v>Como usuário, quero criar uma conta e me autenticar no aplicativo para acessar de forma segura meus perfis e dados financeiros.</x:v>
      </x:c>
      <x:c r="E82" s="22" t="str">
        <x:v>RF48</x:v>
      </x:c>
      <x:c r="F82" s="22" t="str">
        <x:v>Impacto; não cobertura</x:v>
      </x:c>
      <x:c r="G82" s="22" t="str">
        <x:v>Para proteger os dados sensíveis, o aplicativo deve oferecer a opção de bloqueio por biometria (impressão digital ou reconhecimento facial) ou por um PIN, utilizando as APIs de autenticação do Android.</x:v>
      </x:c>
      <x:c r="H82" s="22" t="str">
        <x:v>Nenhuma (fundação/independente)</x:v>
      </x:c>
      <x:c r="I82" s="22" t="str">
        <x:v>Alta</x:v>
      </x:c>
      <x:c r="J82" s="22" t="str">
        <x:v>Impacto de identidade/perfil inicial nas RN-ID. Não altera a US principal ou complementar do RF.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55ec588646c43c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3.800000190734863"/>
  <x:cols>
    <x:col min="1" max="1" width="9" customWidth="1"/>
    <x:col min="2" max="2" width="82" customWidth="1"/>
    <x:col min="3" max="4" width="12" customWidth="1"/>
    <x:col min="5" max="5" width="35" customWidth="1"/>
    <x:col min="6" max="6" width="13" customWidth="1"/>
    <x:col min="7" max="7" width="14" customWidth="1"/>
    <x:col min="8" max="8" width="35" customWidth="1"/>
    <x:col min="9" max="9" width="14" customWidth="1"/>
    <x:col min="10" max="10" width="58" customWidth="1"/>
    <x:col min="11" max="11" width="29" customWidth="1"/>
  </x:cols>
  <x:sheetData>
    <x:row r="1" ht="22.350000381469727" customHeight="1">
      <x:c r="A1" s="6" t="s">
        <x:v>207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7.149999618530273" customHeight="1">
      <x:c r="A2" s="7" t="s">
        <x:v>208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4" customHeight="1">
      <x:c r="A4" s="1" t="s">
        <x:v>203</x:v>
      </x:c>
      <x:c r="B4" s="1" t="s">
        <x:v>205</x:v>
      </x:c>
      <x:c r="C4" s="1" t="s">
        <x:v>209</x:v>
      </x:c>
      <x:c r="D4" s="1" t="s">
        <x:v>210</x:v>
      </x:c>
      <x:c r="E4" s="1" t="s">
        <x:v>211</x:v>
      </x:c>
      <x:c r="F4" s="1" t="s">
        <x:v>212</x:v>
      </x:c>
      <x:c r="G4" s="1" t="s">
        <x:v>213</x:v>
      </x:c>
      <x:c r="H4" s="1" t="s">
        <x:v>214</x:v>
      </x:c>
      <x:c r="I4" s="1" t="s">
        <x:v>215</x:v>
      </x:c>
      <x:c r="J4" s="1" t="s">
        <x:v>216</x:v>
      </x:c>
      <x:c r="K4" s="1" t="s">
        <x:v>217</x:v>
      </x:c>
    </x:row>
    <x:row r="5" ht="41.400001525878906">
      <x:c r="A5" s="2" t="s">
        <x:v>218</x:v>
      </x:c>
      <x:c r="B5" s="2" t="s">
        <x:v>219</x:v>
      </x:c>
      <x:c r="C5" s="2" t="s">
        <x:v>86</x:v>
      </x:c>
      <x:c r="D5" s="2" t="s">
        <x:v>84</x:v>
      </x:c>
      <x:c r="E5" s="2" t="s">
        <x:v>220</x:v>
      </x:c>
      <x:c r="F5" s="2" t="s">
        <x:v>63</x:v>
      </x:c>
      <x:c r="G5" s="2"/>
      <x:c r="H5" s="2"/>
      <x:c r="I5" s="2"/>
      <x:c r="J5" s="2"/>
      <x:c r="K5" s="2" t="s">
        <x:v>221</x:v>
      </x:c>
    </x:row>
    <x:row r="6" ht="41.400001525878906">
      <x:c r="A6" s="2" t="s">
        <x:v>222</x:v>
      </x:c>
      <x:c r="B6" s="2" t="s">
        <x:v>223</x:v>
      </x:c>
      <x:c r="C6" s="2" t="s">
        <x:v>86</x:v>
      </x:c>
      <x:c r="D6" s="2" t="s">
        <x:v>94</x:v>
      </x:c>
      <x:c r="E6" s="2" t="s">
        <x:v>224</x:v>
      </x:c>
      <x:c r="F6" s="2" t="s">
        <x:v>63</x:v>
      </x:c>
      <x:c r="G6" s="2"/>
      <x:c r="H6" s="2"/>
      <x:c r="I6" s="2"/>
      <x:c r="J6" s="2"/>
      <x:c r="K6" s="2" t="s">
        <x:v>221</x:v>
      </x:c>
    </x:row>
    <x:row r="7" ht="41.400001525878906">
      <x:c r="A7" s="2" t="s">
        <x:v>225</x:v>
      </x:c>
      <x:c r="B7" s="2" t="s">
        <x:v>226</x:v>
      </x:c>
      <x:c r="C7" s="2" t="s">
        <x:v>86</x:v>
      </x:c>
      <x:c r="D7" s="2" t="s">
        <x:v>96</x:v>
      </x:c>
      <x:c r="E7" s="2" t="s">
        <x:v>227</x:v>
      </x:c>
      <x:c r="F7" s="2" t="s">
        <x:v>65</x:v>
      </x:c>
      <x:c r="G7" s="2"/>
      <x:c r="H7" s="2"/>
      <x:c r="I7" s="2"/>
      <x:c r="J7" s="2"/>
      <x:c r="K7" s="2" t="s">
        <x:v>221</x:v>
      </x:c>
    </x:row>
    <x:row r="8" ht="41.400001525878906">
      <x:c r="A8" s="2" t="s">
        <x:v>228</x:v>
      </x:c>
      <x:c r="B8" s="2" t="s">
        <x:v>229</x:v>
      </x:c>
      <x:c r="C8" s="2" t="s">
        <x:v>230</x:v>
      </x:c>
      <x:c r="D8" s="2" t="s">
        <x:v>34</x:v>
      </x:c>
      <x:c r="E8" s="2" t="s">
        <x:v>231</x:v>
      </x:c>
      <x:c r="F8" s="2" t="s">
        <x:v>67</x:v>
      </x:c>
      <x:c r="G8" s="2"/>
      <x:c r="H8" s="2"/>
      <x:c r="I8" s="2"/>
      <x:c r="J8" s="2"/>
      <x:c r="K8" s="2" t="s">
        <x:v>221</x:v>
      </x:c>
    </x:row>
    <x:row r="9" ht="41.400001525878906">
      <x:c r="A9" s="2" t="s">
        <x:v>232</x:v>
      </x:c>
      <x:c r="B9" s="2" t="s">
        <x:v>233</x:v>
      </x:c>
      <x:c r="C9" s="2" t="s">
        <x:v>105</x:v>
      </x:c>
      <x:c r="D9" s="2" t="s">
        <x:v>106</x:v>
      </x:c>
      <x:c r="E9" s="2" t="s">
        <x:v>234</x:v>
      </x:c>
      <x:c r="F9" s="2" t="s">
        <x:v>67</x:v>
      </x:c>
      <x:c r="G9" s="2"/>
      <x:c r="H9" s="2"/>
      <x:c r="I9" s="2"/>
      <x:c r="J9" s="2"/>
      <x:c r="K9" s="2" t="s">
        <x:v>221</x:v>
      </x:c>
    </x:row>
    <x:row r="10" ht="41.400001525878906">
      <x:c r="A10" s="2" t="s">
        <x:v>235</x:v>
      </x:c>
      <x:c r="B10" s="2" t="s">
        <x:v>236</x:v>
      </x:c>
      <x:c r="C10" s="2" t="s">
        <x:v>86</x:v>
      </x:c>
      <x:c r="D10" s="2" t="s">
        <x:v>108</x:v>
      </x:c>
      <x:c r="E10" s="2" t="s">
        <x:v>237</x:v>
      </x:c>
      <x:c r="F10" s="2" t="s">
        <x:v>69</x:v>
      </x:c>
      <x:c r="G10" s="2"/>
      <x:c r="H10" s="2"/>
      <x:c r="I10" s="2"/>
      <x:c r="J10" s="2"/>
      <x:c r="K10" s="2" t="s">
        <x:v>221</x:v>
      </x:c>
    </x:row>
    <x:row r="11" ht="27.600000381469727">
      <x:c r="A11" s="2" t="s">
        <x:v>238</x:v>
      </x:c>
      <x:c r="B11" s="2" t="s">
        <x:v>239</x:v>
      </x:c>
      <x:c r="C11" s="2" t="s">
        <x:v>230</x:v>
      </x:c>
      <x:c r="D11" s="2" t="s">
        <x:v>40</x:v>
      </x:c>
      <x:c r="E11" s="2" t="s">
        <x:v>240</x:v>
      </x:c>
      <x:c r="F11" s="2" t="s">
        <x:v>69</x:v>
      </x:c>
      <x:c r="G11" s="2"/>
      <x:c r="H11" s="2"/>
      <x:c r="I11" s="2"/>
      <x:c r="J11" s="2"/>
      <x:c r="K11" s="2" t="s">
        <x:v>221</x:v>
      </x:c>
    </x:row>
    <x:row r="12" ht="41.400001525878906">
      <x:c r="A12" s="2" t="s">
        <x:v>241</x:v>
      </x:c>
      <x:c r="B12" s="2" t="s">
        <x:v>242</x:v>
      </x:c>
      <x:c r="C12" s="2" t="s">
        <x:v>86</x:v>
      </x:c>
      <x:c r="D12" s="2" t="s">
        <x:v>111</x:v>
      </x:c>
      <x:c r="E12" s="2" t="s">
        <x:v>243</x:v>
      </x:c>
      <x:c r="F12" s="2" t="s">
        <x:v>69</x:v>
      </x:c>
      <x:c r="G12" s="2"/>
      <x:c r="H12" s="2"/>
      <x:c r="I12" s="2"/>
      <x:c r="J12" s="2" t="str">
        <x:v>US60: impacto de conta/perfil inicial (RN-ID-01 a RN-ID-04), sem cobertura adicional e sem RF de origem.</x:v>
      </x:c>
      <x:c r="K12" s="2" t="s">
        <x:v>221</x:v>
      </x:c>
    </x:row>
    <x:row r="13" ht="41.400001525878906">
      <x:c r="A13" s="2" t="s">
        <x:v>244</x:v>
      </x:c>
      <x:c r="B13" s="2" t="s">
        <x:v>245</x:v>
      </x:c>
      <x:c r="C13" s="2" t="s">
        <x:v>105</x:v>
      </x:c>
      <x:c r="D13" s="2" t="s">
        <x:v>43</x:v>
      </x:c>
      <x:c r="E13" s="2" t="s">
        <x:v>246</x:v>
      </x:c>
      <x:c r="F13" s="2" t="s">
        <x:v>73</x:v>
      </x:c>
      <x:c r="G13" s="2"/>
      <x:c r="H13" s="2"/>
      <x:c r="I13" s="2"/>
      <x:c r="J13" s="2"/>
      <x:c r="K13" s="2" t="s">
        <x:v>221</x:v>
      </x:c>
    </x:row>
    <x:row r="14" ht="27.600000381469727">
      <x:c r="A14" s="2" t="s">
        <x:v>247</x:v>
      </x:c>
      <x:c r="B14" s="2" t="s">
        <x:v>248</x:v>
      </x:c>
      <x:c r="C14" s="2" t="s">
        <x:v>105</x:v>
      </x:c>
      <x:c r="D14" s="2" t="s">
        <x:v>37</x:v>
      </x:c>
      <x:c r="E14" s="2" t="s">
        <x:v>249</x:v>
      </x:c>
      <x:c r="F14" s="2" t="s">
        <x:v>67</x:v>
      </x:c>
      <x:c r="G14" s="2"/>
      <x:c r="H14" s="2"/>
      <x:c r="I14" s="2"/>
      <x:c r="J14" s="2"/>
      <x:c r="K14" s="2" t="s">
        <x:v>221</x:v>
      </x:c>
    </x:row>
    <x:row r="15" ht="27.600000381469727">
      <x:c r="A15" s="2" t="s">
        <x:v>250</x:v>
      </x:c>
      <x:c r="B15" s="2" t="s">
        <x:v>251</x:v>
      </x:c>
      <x:c r="C15" s="2" t="s">
        <x:v>230</x:v>
      </x:c>
      <x:c r="D15" s="2" t="s">
        <x:v>115</x:v>
      </x:c>
      <x:c r="E15" s="2" t="s">
        <x:v>252</x:v>
      </x:c>
      <x:c r="F15" s="2" t="s">
        <x:v>75</x:v>
      </x:c>
      <x:c r="G15" s="2"/>
      <x:c r="H15" s="2"/>
      <x:c r="I15" s="2"/>
      <x:c r="J15" s="2" t="str">
        <x:v>US60: impacto de conta/perfil inicial (RN-ID-01 a RN-ID-04), sem cobertura adicional e sem RF de origem.</x:v>
      </x:c>
      <x:c r="K15" s="2" t="s">
        <x:v>221</x:v>
      </x:c>
    </x:row>
    <x:row r="16" ht="27.600000381469727">
      <x:c r="A16" s="2" t="s">
        <x:v>253</x:v>
      </x:c>
      <x:c r="B16" s="2" t="s">
        <x:v>254</x:v>
      </x:c>
      <x:c r="C16" s="2" t="s">
        <x:v>230</x:v>
      </x:c>
      <x:c r="D16" s="2" t="s">
        <x:v>46</x:v>
      </x:c>
      <x:c r="E16" s="2" t="s">
        <x:v>255</x:v>
      </x:c>
      <x:c r="F16" s="2" t="s">
        <x:v>73</x:v>
      </x:c>
      <x:c r="G16" s="2"/>
      <x:c r="H16" s="2"/>
      <x:c r="I16" s="2"/>
      <x:c r="J16" s="2"/>
      <x:c r="K16" s="2" t="s">
        <x:v>221</x:v>
      </x:c>
    </x:row>
    <x:row r="17" ht="27.600000381469727">
      <x:c r="A17" s="2" t="s">
        <x:v>256</x:v>
      </x:c>
      <x:c r="B17" s="2" t="s">
        <x:v>257</x:v>
      </x:c>
      <x:c r="C17" s="2" t="s">
        <x:v>86</x:v>
      </x:c>
      <x:c r="D17" s="2" t="s">
        <x:v>89</x:v>
      </x:c>
      <x:c r="E17" s="2" t="s">
        <x:v>258</x:v>
      </x:c>
      <x:c r="F17" s="2" t="s">
        <x:v>63</x:v>
      </x:c>
      <x:c r="G17" s="2"/>
      <x:c r="H17" s="2"/>
      <x:c r="I17" s="2"/>
      <x:c r="J17" s="2"/>
      <x:c r="K17" s="2" t="s">
        <x:v>221</x:v>
      </x:c>
    </x:row>
    <x:row r="18" ht="27.600000381469727">
      <x:c r="A18" s="2" t="s">
        <x:v>259</x:v>
      </x:c>
      <x:c r="B18" s="2" t="s">
        <x:v>260</x:v>
      </x:c>
      <x:c r="C18" s="2" t="s">
        <x:v>105</x:v>
      </x:c>
      <x:c r="D18" s="2" t="s">
        <x:v>139</x:v>
      </x:c>
      <x:c r="E18" s="2" t="s">
        <x:v>261</x:v>
      </x:c>
      <x:c r="F18" s="2" t="s">
        <x:v>69</x:v>
      </x:c>
      <x:c r="G18" s="2"/>
      <x:c r="H18" s="2"/>
      <x:c r="I18" s="2"/>
      <x:c r="J18" s="2"/>
      <x:c r="K18" s="2" t="s">
        <x:v>221</x:v>
      </x:c>
    </x:row>
    <x:row r="19" ht="27.600000381469727">
      <x:c r="A19" s="2" t="s">
        <x:v>262</x:v>
      </x:c>
      <x:c r="B19" s="2" t="s">
        <x:v>263</x:v>
      </x:c>
      <x:c r="C19" s="2" t="s">
        <x:v>230</x:v>
      </x:c>
      <x:c r="D19" s="2" t="s">
        <x:v>118</x:v>
      </x:c>
      <x:c r="E19" s="2" t="s">
        <x:v>264</x:v>
      </x:c>
      <x:c r="F19" s="2" t="s">
        <x:v>73</x:v>
      </x:c>
      <x:c r="G19" s="2"/>
      <x:c r="H19" s="2"/>
      <x:c r="I19" s="2"/>
      <x:c r="J19" s="2"/>
      <x:c r="K19" s="2" t="s">
        <x:v>221</x:v>
      </x:c>
    </x:row>
    <x:row r="20" ht="27.600000381469727">
      <x:c r="A20" s="2" t="s">
        <x:v>265</x:v>
      </x:c>
      <x:c r="B20" s="2" t="s">
        <x:v>266</x:v>
      </x:c>
      <x:c r="C20" s="2" t="s">
        <x:v>230</x:v>
      </x:c>
      <x:c r="D20" s="2" t="s">
        <x:v>120</x:v>
      </x:c>
      <x:c r="E20" s="2" t="s">
        <x:v>267</x:v>
      </x:c>
      <x:c r="F20" s="2" t="s">
        <x:v>75</x:v>
      </x:c>
      <x:c r="G20" s="2"/>
      <x:c r="H20" s="2"/>
      <x:c r="I20" s="2"/>
      <x:c r="J20" s="2" t="str">
        <x:v>US60: impacto de conta/perfil inicial (RN-ID-01 a RN-ID-04), sem cobertura adicional e sem RF de origem.</x:v>
      </x:c>
      <x:c r="K20" s="2" t="s">
        <x:v>221</x:v>
      </x:c>
    </x:row>
    <x:row r="21" ht="41.400001525878906">
      <x:c r="A21" s="2" t="s">
        <x:v>268</x:v>
      </x:c>
      <x:c r="B21" s="2" t="s">
        <x:v>269</x:v>
      </x:c>
      <x:c r="C21" s="2" t="s">
        <x:v>105</x:v>
      </x:c>
      <x:c r="D21" s="2" t="s">
        <x:v>122</x:v>
      </x:c>
      <x:c r="E21" s="2" t="s">
        <x:v>270</x:v>
      </x:c>
      <x:c r="F21" s="2" t="s">
        <x:v>63</x:v>
      </x:c>
      <x:c r="G21" s="2"/>
      <x:c r="H21" s="2"/>
      <x:c r="I21" s="2"/>
      <x:c r="J21" s="2" t="str">
        <x:v>US60: impacto de conta/perfil inicial (RN-ID-01 a RN-ID-04), sem cobertura adicional e sem RF de origem.</x:v>
      </x:c>
      <x:c r="K21" s="2" t="s">
        <x:v>221</x:v>
      </x:c>
    </x:row>
    <x:row r="22" ht="41.400001525878906">
      <x:c r="A22" s="2" t="s">
        <x:v>271</x:v>
      </x:c>
      <x:c r="B22" s="2" t="s">
        <x:v>272</x:v>
      </x:c>
      <x:c r="C22" s="2" t="s">
        <x:v>105</x:v>
      </x:c>
      <x:c r="D22" s="2" t="s">
        <x:v>165</x:v>
      </x:c>
      <x:c r="E22" s="2" t="s">
        <x:v>273</x:v>
      </x:c>
      <x:c r="F22" s="2" t="s">
        <x:v>67</x:v>
      </x:c>
      <x:c r="G22" s="2"/>
      <x:c r="H22" s="2"/>
      <x:c r="I22" s="2"/>
      <x:c r="J22" s="2"/>
      <x:c r="K22" s="2" t="s">
        <x:v>221</x:v>
      </x:c>
    </x:row>
    <x:row r="23" ht="27.600000381469727">
      <x:c r="A23" s="2" t="s">
        <x:v>274</x:v>
      </x:c>
      <x:c r="B23" s="2" t="s">
        <x:v>275</x:v>
      </x:c>
      <x:c r="C23" s="2" t="s">
        <x:v>105</x:v>
      </x:c>
      <x:c r="D23" s="2" t="s">
        <x:v>49</x:v>
      </x:c>
      <x:c r="E23" s="2" t="s">
        <x:v>276</x:v>
      </x:c>
      <x:c r="F23" s="2" t="s">
        <x:v>77</x:v>
      </x:c>
      <x:c r="G23" s="2"/>
      <x:c r="H23" s="2"/>
      <x:c r="I23" s="2"/>
      <x:c r="J23" s="2"/>
      <x:c r="K23" s="2" t="s">
        <x:v>221</x:v>
      </x:c>
    </x:row>
    <x:row r="24" ht="27.600000381469727">
      <x:c r="A24" s="2" t="s">
        <x:v>277</x:v>
      </x:c>
      <x:c r="B24" s="2" t="s">
        <x:v>278</x:v>
      </x:c>
      <x:c r="C24" s="2" t="s">
        <x:v>230</x:v>
      </x:c>
      <x:c r="D24" s="2" t="s">
        <x:v>125</x:v>
      </x:c>
      <x:c r="E24" s="2" t="s">
        <x:v>279</x:v>
      </x:c>
      <x:c r="F24" s="2" t="s">
        <x:v>73</x:v>
      </x:c>
      <x:c r="G24" s="2"/>
      <x:c r="H24" s="2"/>
      <x:c r="I24" s="2"/>
      <x:c r="J24" s="2"/>
      <x:c r="K24" s="2" t="s">
        <x:v>221</x:v>
      </x:c>
    </x:row>
    <x:row r="25" ht="27.600000381469727">
      <x:c r="A25" s="2" t="s">
        <x:v>280</x:v>
      </x:c>
      <x:c r="B25" s="2" t="s">
        <x:v>281</x:v>
      </x:c>
      <x:c r="C25" s="2" t="s">
        <x:v>230</x:v>
      </x:c>
      <x:c r="D25" s="2" t="s">
        <x:v>87</x:v>
      </x:c>
      <x:c r="E25" s="2" t="s">
        <x:v>282</x:v>
      </x:c>
      <x:c r="F25" s="2" t="s">
        <x:v>63</x:v>
      </x:c>
      <x:c r="G25" s="2"/>
      <x:c r="H25" s="2"/>
      <x:c r="I25" s="2"/>
      <x:c r="J25" s="2"/>
      <x:c r="K25" s="2" t="s">
        <x:v>221</x:v>
      </x:c>
    </x:row>
    <x:row r="26" ht="27.600000381469727">
      <x:c r="A26" s="2" t="s">
        <x:v>283</x:v>
      </x:c>
      <x:c r="B26" s="2" t="s">
        <x:v>284</x:v>
      </x:c>
      <x:c r="C26" s="2" t="s">
        <x:v>230</x:v>
      </x:c>
      <x:c r="D26" s="2" t="s">
        <x:v>127</x:v>
      </x:c>
      <x:c r="E26" s="2" t="s">
        <x:v>285</x:v>
      </x:c>
      <x:c r="F26" s="2" t="s">
        <x:v>69</x:v>
      </x:c>
      <x:c r="G26" s="2"/>
      <x:c r="H26" s="2"/>
      <x:c r="I26" s="2"/>
      <x:c r="J26" s="2"/>
      <x:c r="K26" s="2" t="s">
        <x:v>221</x:v>
      </x:c>
    </x:row>
    <x:row r="27" ht="27.600000381469727">
      <x:c r="A27" s="2" t="s">
        <x:v>286</x:v>
      </x:c>
      <x:c r="B27" s="2" t="s">
        <x:v>287</x:v>
      </x:c>
      <x:c r="C27" s="2" t="s">
        <x:v>105</x:v>
      </x:c>
      <x:c r="D27" s="2" t="s">
        <x:v>91</x:v>
      </x:c>
      <x:c r="E27" s="2" t="s">
        <x:v>288</x:v>
      </x:c>
      <x:c r="F27" s="2" t="s">
        <x:v>63</x:v>
      </x:c>
      <x:c r="G27" s="2"/>
      <x:c r="H27" s="2"/>
      <x:c r="I27" s="2"/>
      <x:c r="J27" s="2"/>
      <x:c r="K27" s="2" t="s">
        <x:v>221</x:v>
      </x:c>
    </x:row>
    <x:row r="28" ht="27.600000381469727">
      <x:c r="A28" s="2" t="s">
        <x:v>289</x:v>
      </x:c>
      <x:c r="B28" s="2" t="s">
        <x:v>290</x:v>
      </x:c>
      <x:c r="C28" s="2" t="s">
        <x:v>105</x:v>
      </x:c>
      <x:c r="D28" s="2" t="s">
        <x:v>96</x:v>
      </x:c>
      <x:c r="E28" s="2" t="s">
        <x:v>227</x:v>
      </x:c>
      <x:c r="F28" s="2" t="s">
        <x:v>65</x:v>
      </x:c>
      <x:c r="G28" s="2"/>
      <x:c r="H28" s="2"/>
      <x:c r="I28" s="2"/>
      <x:c r="J28" s="2"/>
      <x:c r="K28" s="2" t="s">
        <x:v>221</x:v>
      </x:c>
    </x:row>
    <x:row r="29" ht="27.600000381469727">
      <x:c r="A29" s="2" t="s">
        <x:v>291</x:v>
      </x:c>
      <x:c r="B29" s="2" t="s">
        <x:v>292</x:v>
      </x:c>
      <x:c r="C29" s="2" t="s">
        <x:v>230</x:v>
      </x:c>
      <x:c r="D29" s="2" t="s">
        <x:v>129</x:v>
      </x:c>
      <x:c r="E29" s="2" t="s">
        <x:v>293</x:v>
      </x:c>
      <x:c r="F29" s="2" t="s">
        <x:v>71</x:v>
      </x:c>
      <x:c r="G29" s="2"/>
      <x:c r="H29" s="2"/>
      <x:c r="I29" s="2"/>
      <x:c r="J29" s="2"/>
      <x:c r="K29" s="2" t="s">
        <x:v>221</x:v>
      </x:c>
    </x:row>
    <x:row r="30" ht="27.600000381469727">
      <x:c r="A30" s="2" t="s">
        <x:v>294</x:v>
      </x:c>
      <x:c r="B30" s="2" t="s">
        <x:v>295</x:v>
      </x:c>
      <x:c r="C30" s="2" t="s">
        <x:v>230</x:v>
      </x:c>
      <x:c r="D30" s="2" t="s">
        <x:v>181</x:v>
      </x:c>
      <x:c r="E30" s="2" t="s">
        <x:v>296</x:v>
      </x:c>
      <x:c r="F30" s="2" t="s">
        <x:v>69</x:v>
      </x:c>
      <x:c r="G30" s="2"/>
      <x:c r="H30" s="2"/>
      <x:c r="I30" s="2"/>
      <x:c r="J30" s="2"/>
      <x:c r="K30" s="2" t="s">
        <x:v>221</x:v>
      </x:c>
    </x:row>
    <x:row r="31" ht="27.600000381469727">
      <x:c r="A31" s="2" t="s">
        <x:v>297</x:v>
      </x:c>
      <x:c r="B31" s="2" t="s">
        <x:v>298</x:v>
      </x:c>
      <x:c r="C31" s="2" t="s">
        <x:v>230</x:v>
      </x:c>
      <x:c r="D31" s="2" t="s">
        <x:v>133</x:v>
      </x:c>
      <x:c r="E31" s="2" t="s">
        <x:v>299</x:v>
      </x:c>
      <x:c r="F31" s="2" t="s">
        <x:v>65</x:v>
      </x:c>
      <x:c r="G31" s="2"/>
      <x:c r="H31" s="2"/>
      <x:c r="I31" s="2"/>
      <x:c r="J31" s="2"/>
      <x:c r="K31" s="2" t="s">
        <x:v>221</x:v>
      </x:c>
    </x:row>
    <x:row r="32" ht="27.600000381469727">
      <x:c r="A32" s="2" t="s">
        <x:v>300</x:v>
      </x:c>
      <x:c r="B32" s="2" t="s">
        <x:v>301</x:v>
      </x:c>
      <x:c r="C32" s="2" t="s">
        <x:v>230</x:v>
      </x:c>
      <x:c r="D32" s="2" t="s">
        <x:v>40</x:v>
      </x:c>
      <x:c r="E32" s="2" t="s">
        <x:v>240</x:v>
      </x:c>
      <x:c r="F32" s="2" t="s">
        <x:v>69</x:v>
      </x:c>
      <x:c r="G32" s="2"/>
      <x:c r="H32" s="2"/>
      <x:c r="I32" s="2"/>
      <x:c r="J32" s="2"/>
      <x:c r="K32" s="2" t="s">
        <x:v>221</x:v>
      </x:c>
    </x:row>
    <x:row r="33" ht="41.400001525878906">
      <x:c r="A33" s="2" t="s">
        <x:v>302</x:v>
      </x:c>
      <x:c r="B33" s="2" t="s">
        <x:v>303</x:v>
      </x:c>
      <x:c r="C33" s="2" t="s">
        <x:v>105</x:v>
      </x:c>
      <x:c r="D33" s="2" t="s">
        <x:v>183</x:v>
      </x:c>
      <x:c r="E33" s="2" t="s">
        <x:v>304</x:v>
      </x:c>
      <x:c r="F33" s="2" t="s">
        <x:v>73</x:v>
      </x:c>
      <x:c r="G33" s="2"/>
      <x:c r="H33" s="2"/>
      <x:c r="I33" s="2"/>
      <x:c r="J33" s="2"/>
      <x:c r="K33" s="2" t="s">
        <x:v>221</x:v>
      </x:c>
    </x:row>
    <x:row r="34" ht="27.600000381469727">
      <x:c r="A34" s="2" t="s">
        <x:v>305</x:v>
      </x:c>
      <x:c r="B34" s="2" t="s">
        <x:v>306</x:v>
      </x:c>
      <x:c r="C34" s="2" t="s">
        <x:v>105</x:v>
      </x:c>
      <x:c r="D34" s="2" t="s">
        <x:v>103</x:v>
      </x:c>
      <x:c r="E34" s="2" t="s">
        <x:v>307</x:v>
      </x:c>
      <x:c r="F34" s="2" t="s">
        <x:v>67</x:v>
      </x:c>
      <x:c r="G34" s="2"/>
      <x:c r="H34" s="2"/>
      <x:c r="I34" s="2"/>
      <x:c r="J34" s="2"/>
      <x:c r="K34" s="2" t="s">
        <x:v>221</x:v>
      </x:c>
    </x:row>
    <x:row r="35" ht="27.600000381469727">
      <x:c r="A35" s="2" t="s">
        <x:v>308</x:v>
      </x:c>
      <x:c r="B35" s="2" t="s">
        <x:v>309</x:v>
      </x:c>
      <x:c r="C35" s="2" t="s">
        <x:v>105</x:v>
      </x:c>
      <x:c r="D35" s="2" t="s">
        <x:v>135</x:v>
      </x:c>
      <x:c r="E35" s="2" t="s">
        <x:v>310</x:v>
      </x:c>
      <x:c r="F35" s="2" t="s">
        <x:v>75</x:v>
      </x:c>
      <x:c r="G35" s="2"/>
      <x:c r="H35" s="2"/>
      <x:c r="I35" s="2"/>
      <x:c r="J35" s="2"/>
      <x:c r="K35" s="2" t="s">
        <x:v>221</x:v>
      </x:c>
    </x:row>
    <x:row r="36" ht="27.600000381469727">
      <x:c r="A36" s="2" t="s">
        <x:v>311</x:v>
      </x:c>
      <x:c r="B36" s="2" t="s">
        <x:v>312</x:v>
      </x:c>
      <x:c r="C36" s="2" t="s">
        <x:v>230</x:v>
      </x:c>
      <x:c r="D36" s="2" t="s">
        <x:v>137</x:v>
      </x:c>
      <x:c r="E36" s="2" t="s">
        <x:v>313</x:v>
      </x:c>
      <x:c r="F36" s="2" t="s">
        <x:v>71</x:v>
      </x:c>
      <x:c r="G36" s="2"/>
      <x:c r="H36" s="2"/>
      <x:c r="I36" s="2"/>
      <x:c r="J36" s="2"/>
      <x:c r="K36" s="2" t="s">
        <x:v>221</x:v>
      </x:c>
    </x:row>
    <x:row r="37" ht="41.400001525878906">
      <x:c r="A37" s="2" t="s">
        <x:v>314</x:v>
      </x:c>
      <x:c r="B37" s="2" t="s">
        <x:v>315</x:v>
      </x:c>
      <x:c r="C37" s="2" t="s">
        <x:v>230</x:v>
      </x:c>
      <x:c r="D37" s="2" t="s">
        <x:v>169</x:v>
      </x:c>
      <x:c r="E37" s="2" t="s">
        <x:v>316</x:v>
      </x:c>
      <x:c r="F37" s="2" t="s">
        <x:v>73</x:v>
      </x:c>
      <x:c r="G37" s="2"/>
      <x:c r="H37" s="2"/>
      <x:c r="I37" s="2"/>
      <x:c r="J37" s="2"/>
      <x:c r="K37" s="2" t="s">
        <x:v>221</x:v>
      </x:c>
    </x:row>
    <x:row r="38" ht="27.600000381469727">
      <x:c r="A38" s="2" t="s">
        <x:v>317</x:v>
      </x:c>
      <x:c r="B38" s="2" t="s">
        <x:v>318</x:v>
      </x:c>
      <x:c r="C38" s="2" t="s">
        <x:v>230</x:v>
      </x:c>
      <x:c r="D38" s="2" t="s">
        <x:v>98</x:v>
      </x:c>
      <x:c r="E38" s="2" t="s">
        <x:v>319</x:v>
      </x:c>
      <x:c r="F38" s="2" t="s">
        <x:v>65</x:v>
      </x:c>
      <x:c r="G38" s="2"/>
      <x:c r="H38" s="2"/>
      <x:c r="I38" s="2"/>
      <x:c r="J38" s="2"/>
      <x:c r="K38" s="2" t="s">
        <x:v>221</x:v>
      </x:c>
    </x:row>
    <x:row r="39" ht="27.600000381469727">
      <x:c r="A39" s="2" t="s">
        <x:v>320</x:v>
      </x:c>
      <x:c r="B39" s="2" t="s">
        <x:v>321</x:v>
      </x:c>
      <x:c r="C39" s="2" t="s">
        <x:v>230</x:v>
      </x:c>
      <x:c r="D39" s="2" t="s">
        <x:v>189</x:v>
      </x:c>
      <x:c r="E39" s="2" t="s">
        <x:v>322</x:v>
      </x:c>
      <x:c r="F39" s="2" t="s">
        <x:v>69</x:v>
      </x:c>
      <x:c r="G39" s="2"/>
      <x:c r="H39" s="2"/>
      <x:c r="I39" s="2"/>
      <x:c r="J39" s="2"/>
      <x:c r="K39" s="2" t="s">
        <x:v>221</x:v>
      </x:c>
    </x:row>
    <x:row r="40" ht="27.600000381469727">
      <x:c r="A40" s="2" t="s">
        <x:v>323</x:v>
      </x:c>
      <x:c r="B40" s="2" t="s">
        <x:v>324</x:v>
      </x:c>
      <x:c r="C40" s="2" t="s">
        <x:v>230</x:v>
      </x:c>
      <x:c r="D40" s="2" t="s">
        <x:v>87</x:v>
      </x:c>
      <x:c r="E40" s="2" t="s">
        <x:v>282</x:v>
      </x:c>
      <x:c r="F40" s="2" t="s">
        <x:v>63</x:v>
      </x:c>
      <x:c r="G40" s="2"/>
      <x:c r="H40" s="2"/>
      <x:c r="I40" s="2"/>
      <x:c r="J40" s="2"/>
      <x:c r="K40" s="2" t="s">
        <x:v>221</x:v>
      </x:c>
    </x:row>
    <x:row r="41" ht="41.400001525878906">
      <x:c r="A41" s="2" t="s">
        <x:v>325</x:v>
      </x:c>
      <x:c r="B41" s="2" t="s">
        <x:v>326</x:v>
      </x:c>
      <x:c r="C41" s="2" t="s">
        <x:v>230</x:v>
      </x:c>
      <x:c r="D41" s="2" t="s">
        <x:v>175</x:v>
      </x:c>
      <x:c r="E41" s="2" t="s">
        <x:v>327</x:v>
      </x:c>
      <x:c r="F41" s="2" t="s">
        <x:v>71</x:v>
      </x:c>
      <x:c r="G41" s="2"/>
      <x:c r="H41" s="2"/>
      <x:c r="I41" s="2"/>
      <x:c r="J41" s="2"/>
      <x:c r="K41" s="2" t="s">
        <x:v>221</x:v>
      </x:c>
    </x:row>
    <x:row r="42" ht="41.400001525878906">
      <x:c r="A42" s="2" t="s">
        <x:v>328</x:v>
      </x:c>
      <x:c r="B42" s="2" t="s">
        <x:v>329</x:v>
      </x:c>
      <x:c r="C42" s="2" t="s">
        <x:v>230</x:v>
      </x:c>
      <x:c r="D42" s="2" t="s">
        <x:v>139</x:v>
      </x:c>
      <x:c r="E42" s="2" t="s">
        <x:v>261</x:v>
      </x:c>
      <x:c r="F42" s="2" t="s">
        <x:v>69</x:v>
      </x:c>
      <x:c r="G42" s="2"/>
      <x:c r="H42" s="2"/>
      <x:c r="I42" s="2"/>
      <x:c r="J42" s="2"/>
      <x:c r="K42" s="2" t="s">
        <x:v>221</x:v>
      </x:c>
    </x:row>
    <x:row r="43" ht="27.600000381469727">
      <x:c r="A43" s="2" t="s">
        <x:v>330</x:v>
      </x:c>
      <x:c r="B43" s="2" t="s">
        <x:v>331</x:v>
      </x:c>
      <x:c r="C43" s="2" t="s">
        <x:v>105</x:v>
      </x:c>
      <x:c r="D43" s="2" t="s">
        <x:v>141</x:v>
      </x:c>
      <x:c r="E43" s="2" t="s">
        <x:v>332</x:v>
      </x:c>
      <x:c r="F43" s="2" t="s">
        <x:v>63</x:v>
      </x:c>
      <x:c r="G43" s="2"/>
      <x:c r="H43" s="2"/>
      <x:c r="I43" s="2"/>
      <x:c r="J43" s="2"/>
      <x:c r="K43" s="2" t="s">
        <x:v>221</x:v>
      </x:c>
    </x:row>
    <x:row r="44" ht="27.600000381469727">
      <x:c r="A44" s="2" t="s">
        <x:v>333</x:v>
      </x:c>
      <x:c r="B44" s="2" t="s">
        <x:v>334</x:v>
      </x:c>
      <x:c r="C44" s="2" t="s">
        <x:v>86</x:v>
      </x:c>
      <x:c r="D44" s="2" t="s">
        <x:v>161</x:v>
      </x:c>
      <x:c r="E44" s="2" t="s">
        <x:v>335</x:v>
      </x:c>
      <x:c r="F44" s="2" t="s">
        <x:v>63</x:v>
      </x:c>
      <x:c r="G44" s="2"/>
      <x:c r="H44" s="2"/>
      <x:c r="I44" s="2"/>
      <x:c r="J44" s="2"/>
      <x:c r="K44" s="2" t="s">
        <x:v>221</x:v>
      </x:c>
    </x:row>
    <x:row r="45" ht="27.600000381469727">
      <x:c r="A45" s="2" t="s">
        <x:v>336</x:v>
      </x:c>
      <x:c r="B45" s="2" t="s">
        <x:v>337</x:v>
      </x:c>
      <x:c r="C45" s="2" t="s">
        <x:v>105</x:v>
      </x:c>
      <x:c r="D45" s="2" t="s">
        <x:v>52</x:v>
      </x:c>
      <x:c r="E45" s="2" t="s">
        <x:v>338</x:v>
      </x:c>
      <x:c r="F45" s="2" t="s">
        <x:v>63</x:v>
      </x:c>
      <x:c r="G45" s="2"/>
      <x:c r="H45" s="2"/>
      <x:c r="I45" s="2"/>
      <x:c r="J45" s="2"/>
      <x:c r="K45" s="2" t="s">
        <x:v>221</x:v>
      </x:c>
    </x:row>
    <x:row r="46" ht="27.600000381469727">
      <x:c r="A46" s="2" t="s">
        <x:v>339</x:v>
      </x:c>
      <x:c r="B46" s="2" t="s">
        <x:v>340</x:v>
      </x:c>
      <x:c r="C46" s="2" t="s">
        <x:v>230</x:v>
      </x:c>
      <x:c r="D46" s="2" t="s">
        <x:v>98</x:v>
      </x:c>
      <x:c r="E46" s="2" t="s">
        <x:v>319</x:v>
      </x:c>
      <x:c r="F46" s="2" t="s">
        <x:v>65</x:v>
      </x:c>
      <x:c r="G46" s="2"/>
      <x:c r="H46" s="2"/>
      <x:c r="I46" s="2"/>
      <x:c r="J46" s="2"/>
      <x:c r="K46" s="2" t="s">
        <x:v>221</x:v>
      </x:c>
    </x:row>
    <x:row r="47" ht="27.600000381469727">
      <x:c r="A47" s="2" t="s">
        <x:v>341</x:v>
      </x:c>
      <x:c r="B47" s="2" t="s">
        <x:v>342</x:v>
      </x:c>
      <x:c r="C47" s="2" t="s">
        <x:v>105</x:v>
      </x:c>
      <x:c r="D47" s="2" t="s">
        <x:v>171</x:v>
      </x:c>
      <x:c r="E47" s="2" t="s">
        <x:v>343</x:v>
      </x:c>
      <x:c r="F47" s="2" t="s">
        <x:v>77</x:v>
      </x:c>
      <x:c r="G47" s="2"/>
      <x:c r="H47" s="2"/>
      <x:c r="I47" s="2"/>
      <x:c r="J47" s="2"/>
      <x:c r="K47" s="2" t="s">
        <x:v>221</x:v>
      </x:c>
    </x:row>
    <x:row r="48" ht="27.600000381469727">
      <x:c r="A48" s="2" t="s">
        <x:v>344</x:v>
      </x:c>
      <x:c r="B48" s="2" t="s">
        <x:v>345</x:v>
      </x:c>
      <x:c r="C48" s="2" t="s">
        <x:v>230</x:v>
      </x:c>
      <x:c r="D48" s="2" t="s">
        <x:v>144</x:v>
      </x:c>
      <x:c r="E48" s="2" t="s">
        <x:v>346</x:v>
      </x:c>
      <x:c r="F48" s="2" t="s">
        <x:v>69</x:v>
      </x:c>
      <x:c r="G48" s="2"/>
      <x:c r="H48" s="2"/>
      <x:c r="I48" s="2"/>
      <x:c r="J48" s="2"/>
      <x:c r="K48" s="2" t="s">
        <x:v>221</x:v>
      </x:c>
    </x:row>
    <x:row r="49" ht="27.600000381469727">
      <x:c r="A49" s="2" t="s">
        <x:v>347</x:v>
      </x:c>
      <x:c r="B49" s="2" t="s">
        <x:v>348</x:v>
      </x:c>
      <x:c r="C49" s="2" t="s">
        <x:v>105</x:v>
      </x:c>
      <x:c r="D49" s="2" t="s">
        <x:v>146</x:v>
      </x:c>
      <x:c r="E49" s="2" t="s">
        <x:v>349</x:v>
      </x:c>
      <x:c r="F49" s="2" t="s">
        <x:v>75</x:v>
      </x:c>
      <x:c r="G49" s="2"/>
      <x:c r="H49" s="2"/>
      <x:c r="I49" s="2"/>
      <x:c r="J49" s="2"/>
      <x:c r="K49" s="2" t="s">
        <x:v>221</x:v>
      </x:c>
    </x:row>
    <x:row r="50" ht="41.400001525878906">
      <x:c r="A50" s="2" t="s">
        <x:v>350</x:v>
      </x:c>
      <x:c r="B50" s="2" t="s">
        <x:v>351</x:v>
      </x:c>
      <x:c r="C50" s="2" t="s">
        <x:v>105</x:v>
      </x:c>
      <x:c r="D50" s="2" t="s">
        <x:v>100</x:v>
      </x:c>
      <x:c r="E50" s="2" t="s">
        <x:v>352</x:v>
      </x:c>
      <x:c r="F50" s="2" t="s">
        <x:v>65</x:v>
      </x:c>
      <x:c r="G50" s="2"/>
      <x:c r="H50" s="2"/>
      <x:c r="I50" s="2"/>
      <x:c r="J50" s="2"/>
      <x:c r="K50" s="2" t="s">
        <x:v>221</x:v>
      </x:c>
    </x:row>
    <x:row r="51" ht="27.600000381469727">
      <x:c r="A51" s="2" t="s">
        <x:v>353</x:v>
      </x:c>
      <x:c r="B51" s="2" t="s">
        <x:v>354</x:v>
      </x:c>
      <x:c r="C51" s="2" t="s">
        <x:v>105</x:v>
      </x:c>
      <x:c r="D51" s="2" t="s">
        <x:v>167</x:v>
      </x:c>
      <x:c r="E51" s="2" t="s">
        <x:v>355</x:v>
      </x:c>
      <x:c r="F51" s="2" t="s">
        <x:v>67</x:v>
      </x:c>
      <x:c r="G51" s="2"/>
      <x:c r="H51" s="2"/>
      <x:c r="I51" s="2"/>
      <x:c r="J51" s="2"/>
      <x:c r="K51" s="2" t="s">
        <x:v>221</x:v>
      </x:c>
    </x:row>
    <x:row r="52" ht="41.400001525878906">
      <x:c r="A52" s="2" t="s">
        <x:v>356</x:v>
      </x:c>
      <x:c r="B52" s="2" t="s">
        <x:v>357</x:v>
      </x:c>
      <x:c r="C52" s="2" t="s">
        <x:v>86</x:v>
      </x:c>
      <x:c r="D52" s="2" t="s">
        <x:v>148</x:v>
      </x:c>
      <x:c r="E52" s="2" t="s">
        <x:v>358</x:v>
      </x:c>
      <x:c r="F52" s="2" t="s">
        <x:v>75</x:v>
      </x:c>
      <x:c r="G52" s="2"/>
      <x:c r="H52" s="2"/>
      <x:c r="I52" s="2"/>
      <x:c r="J52" s="2" t="str">
        <x:v>US60: impacto de conta/perfil inicial (RN-ID-01 a RN-ID-04), sem cobertura adicional e sem RF de origem.</x:v>
      </x:c>
      <x:c r="K52" s="2" t="s">
        <x:v>221</x:v>
      </x:c>
    </x:row>
    <x:row r="53" ht="27.600000381469727">
      <x:c r="A53" s="2" t="s">
        <x:v>359</x:v>
      </x:c>
      <x:c r="B53" s="2" t="s">
        <x:v>360</x:v>
      </x:c>
      <x:c r="C53" s="2" t="s">
        <x:v>105</x:v>
      </x:c>
      <x:c r="D53" s="2" t="s">
        <x:v>185</x:v>
      </x:c>
      <x:c r="E53" s="2" t="s">
        <x:v>361</x:v>
      </x:c>
      <x:c r="F53" s="2" t="s">
        <x:v>77</x:v>
      </x:c>
      <x:c r="G53" s="2"/>
      <x:c r="H53" s="2"/>
      <x:c r="I53" s="2"/>
      <x:c r="J53" s="2"/>
      <x:c r="K53" s="2" t="s">
        <x:v>221</x:v>
      </x:c>
    </x:row>
    <x:row r="54" ht="27.600000381469727">
      <x:c r="A54" s="2" t="s">
        <x:v>362</x:v>
      </x:c>
      <x:c r="B54" s="2" t="s">
        <x:v>363</x:v>
      </x:c>
      <x:c r="C54" s="2" t="s">
        <x:v>105</x:v>
      </x:c>
      <x:c r="D54" s="2" t="s">
        <x:v>135</x:v>
      </x:c>
      <x:c r="E54" s="2" t="s">
        <x:v>310</x:v>
      </x:c>
      <x:c r="F54" s="2" t="s">
        <x:v>75</x:v>
      </x:c>
      <x:c r="G54" s="2"/>
      <x:c r="H54" s="2"/>
      <x:c r="I54" s="2"/>
      <x:c r="J54" s="2"/>
      <x:c r="K54" s="2" t="s">
        <x:v>221</x:v>
      </x:c>
    </x:row>
    <x:row r="55" ht="27.600000381469727">
      <x:c r="A55" s="2" t="s">
        <x:v>364</x:v>
      </x:c>
      <x:c r="B55" s="2" t="s">
        <x:v>365</x:v>
      </x:c>
      <x:c r="C55" s="2" t="s">
        <x:v>230</x:v>
      </x:c>
      <x:c r="D55" s="2" t="s">
        <x:v>137</x:v>
      </x:c>
      <x:c r="E55" s="2" t="s">
        <x:v>313</x:v>
      </x:c>
      <x:c r="F55" s="2" t="s">
        <x:v>71</x:v>
      </x:c>
      <x:c r="G55" s="2"/>
      <x:c r="H55" s="2"/>
      <x:c r="I55" s="2"/>
      <x:c r="J55" s="2"/>
      <x:c r="K55" s="2" t="s">
        <x:v>221</x:v>
      </x:c>
    </x:row>
    <x:row r="56" ht="41.400001525878906">
      <x:c r="A56" s="2" t="s">
        <x:v>366</x:v>
      </x:c>
      <x:c r="B56" s="2" t="s">
        <x:v>367</x:v>
      </x:c>
      <x:c r="C56" s="2" t="s">
        <x:v>105</x:v>
      </x:c>
      <x:c r="D56" s="2" t="s">
        <x:v>187</x:v>
      </x:c>
      <x:c r="E56" s="2" t="s">
        <x:v>368</x:v>
      </x:c>
      <x:c r="F56" s="2" t="s">
        <x:v>67</x:v>
      </x:c>
      <x:c r="G56" s="2"/>
      <x:c r="H56" s="2"/>
      <x:c r="I56" s="2"/>
      <x:c r="J56" s="2"/>
      <x:c r="K56" s="2" t="s">
        <x:v>221</x:v>
      </x:c>
    </x:row>
    <x:row r="57" ht="27.600000381469727">
      <x:c r="A57" s="2" t="s">
        <x:v>369</x:v>
      </x:c>
      <x:c r="B57" s="2" t="s">
        <x:v>370</x:v>
      </x:c>
      <x:c r="C57" s="2" t="s">
        <x:v>105</x:v>
      </x:c>
      <x:c r="D57" s="2" t="s">
        <x:v>151</x:v>
      </x:c>
      <x:c r="E57" s="2" t="s">
        <x:v>371</x:v>
      </x:c>
      <x:c r="F57" s="2" t="s">
        <x:v>69</x:v>
      </x:c>
      <x:c r="G57" s="2"/>
      <x:c r="H57" s="2"/>
      <x:c r="I57" s="2"/>
      <x:c r="J57" s="2"/>
      <x:c r="K57" s="2" t="s">
        <x:v>221</x:v>
      </x:c>
    </x:row>
    <x:row r="58" ht="27.600000381469727">
      <x:c r="A58" s="2" t="s">
        <x:v>372</x:v>
      </x:c>
      <x:c r="B58" s="2" t="s">
        <x:v>373</x:v>
      </x:c>
      <x:c r="C58" s="2" t="s">
        <x:v>230</x:v>
      </x:c>
      <x:c r="D58" s="2" t="s">
        <x:v>133</x:v>
      </x:c>
      <x:c r="E58" s="2" t="s">
        <x:v>299</x:v>
      </x:c>
      <x:c r="F58" s="2" t="s">
        <x:v>65</x:v>
      </x:c>
      <x:c r="G58" s="2"/>
      <x:c r="H58" s="2"/>
      <x:c r="I58" s="2"/>
      <x:c r="J58" s="2"/>
      <x:c r="K58" s="2" t="s">
        <x:v>221</x:v>
      </x:c>
    </x:row>
    <x:row r="59" ht="27.600000381469727">
      <x:c r="A59" s="2" t="s">
        <x:v>374</x:v>
      </x:c>
      <x:c r="B59" s="2" t="s">
        <x:v>375</x:v>
      </x:c>
      <x:c r="C59" s="2" t="s">
        <x:v>230</x:v>
      </x:c>
      <x:c r="D59" s="2" t="s">
        <x:v>153</x:v>
      </x:c>
      <x:c r="E59" s="2" t="s">
        <x:v>376</x:v>
      </x:c>
      <x:c r="F59" s="2" t="s">
        <x:v>65</x:v>
      </x:c>
      <x:c r="G59" s="2"/>
      <x:c r="H59" s="2"/>
      <x:c r="I59" s="2"/>
      <x:c r="J59" s="2"/>
      <x:c r="K59" s="2" t="s">
        <x:v>221</x:v>
      </x:c>
    </x:row>
    <x:row r="60" ht="27.600000381469727">
      <x:c r="A60" s="2" t="s">
        <x:v>377</x:v>
      </x:c>
      <x:c r="B60" s="2" t="s">
        <x:v>378</x:v>
      </x:c>
      <x:c r="C60" s="2" t="s">
        <x:v>105</x:v>
      </x:c>
      <x:c r="D60" s="2" t="s">
        <x:v>155</x:v>
      </x:c>
      <x:c r="E60" s="2" t="s">
        <x:v>379</x:v>
      </x:c>
      <x:c r="F60" s="2" t="s">
        <x:v>75</x:v>
      </x:c>
      <x:c r="G60" s="2"/>
      <x:c r="H60" s="2"/>
      <x:c r="I60" s="2"/>
      <x:c r="J60" s="2"/>
      <x:c r="K60" s="2" t="s">
        <x:v>221</x:v>
      </x:c>
    </x:row>
    <x:row r="61" ht="27.600000381469727">
      <x:c r="A61" s="2" t="s">
        <x:v>380</x:v>
      </x:c>
      <x:c r="B61" s="2" t="s">
        <x:v>381</x:v>
      </x:c>
      <x:c r="C61" s="2" t="s">
        <x:v>230</x:v>
      </x:c>
      <x:c r="D61" s="2" t="s">
        <x:v>163</x:v>
      </x:c>
      <x:c r="E61" s="2" t="s">
        <x:v>382</x:v>
      </x:c>
      <x:c r="F61" s="2" t="s">
        <x:v>65</x:v>
      </x:c>
      <x:c r="G61" s="2"/>
      <x:c r="H61" s="2"/>
      <x:c r="I61" s="2"/>
      <x:c r="J61" s="2"/>
      <x:c r="K61" s="2" t="s">
        <x:v>221</x:v>
      </x:c>
    </x:row>
    <x:row r="62" ht="27.600000381469727">
      <x:c r="A62" s="2" t="s">
        <x:v>383</x:v>
      </x:c>
      <x:c r="B62" s="2" t="s">
        <x:v>384</x:v>
      </x:c>
      <x:c r="C62" s="2" t="s">
        <x:v>230</x:v>
      </x:c>
      <x:c r="D62" s="2" t="s">
        <x:v>87</x:v>
      </x:c>
      <x:c r="E62" s="2" t="s">
        <x:v>282</x:v>
      </x:c>
      <x:c r="F62" s="2" t="s">
        <x:v>63</x:v>
      </x:c>
      <x:c r="G62" s="2" t="s">
        <x:v>89</x:v>
      </x:c>
      <x:c r="H62" s="2" t="s">
        <x:v>258</x:v>
      </x:c>
      <x:c r="I62" s="2" t="s">
        <x:v>63</x:v>
      </x:c>
      <x:c r="J62" s="2" t="s">
        <x:v>385</x:v>
      </x:c>
      <x:c r="K62" s="2" t="s">
        <x:v>386</x:v>
      </x:c>
    </x:row>
    <x:row r="63" ht="27.600000381469727">
      <x:c r="A63" s="2" t="s">
        <x:v>387</x:v>
      </x:c>
      <x:c r="B63" s="2" t="s">
        <x:v>388</x:v>
      </x:c>
      <x:c r="C63" s="2" t="s">
        <x:v>105</x:v>
      </x:c>
      <x:c r="D63" s="2" t="s">
        <x:v>55</x:v>
      </x:c>
      <x:c r="E63" s="2" t="s">
        <x:v>389</x:v>
      </x:c>
      <x:c r="F63" s="2" t="s">
        <x:v>67</x:v>
      </x:c>
      <x:c r="G63" s="2"/>
      <x:c r="H63" s="2"/>
      <x:c r="I63" s="2"/>
      <x:c r="J63" s="2"/>
      <x:c r="K63" s="2" t="s">
        <x:v>221</x:v>
      </x:c>
    </x:row>
    <x:row r="64" ht="27.600000381469727">
      <x:c r="A64" s="2" t="s">
        <x:v>390</x:v>
      </x:c>
      <x:c r="B64" s="2" t="s">
        <x:v>391</x:v>
      </x:c>
      <x:c r="C64" s="2" t="s">
        <x:v>105</x:v>
      </x:c>
      <x:c r="D64" s="2" t="s">
        <x:v>129</x:v>
      </x:c>
      <x:c r="E64" s="2" t="s">
        <x:v>293</x:v>
      </x:c>
      <x:c r="F64" s="2" t="s">
        <x:v>71</x:v>
      </x:c>
      <x:c r="G64" s="2"/>
      <x:c r="H64" s="2"/>
      <x:c r="I64" s="2"/>
      <x:c r="J64" s="2"/>
      <x:c r="K64" s="2" t="s">
        <x:v>221</x:v>
      </x:c>
    </x:row>
    <x:row r="65" ht="27.600000381469727">
      <x:c r="A65" s="2" t="s">
        <x:v>392</x:v>
      </x:c>
      <x:c r="B65" s="2" t="s">
        <x:v>393</x:v>
      </x:c>
      <x:c r="C65" s="2" t="s">
        <x:v>230</x:v>
      </x:c>
      <x:c r="D65" s="2" t="s">
        <x:v>157</x:v>
      </x:c>
      <x:c r="E65" s="2" t="s">
        <x:v>394</x:v>
      </x:c>
      <x:c r="F65" s="2" t="s">
        <x:v>73</x:v>
      </x:c>
      <x:c r="G65" s="2"/>
      <x:c r="H65" s="2"/>
      <x:c r="I65" s="2"/>
      <x:c r="J65" s="2"/>
      <x:c r="K65" s="2" t="s">
        <x:v>221</x:v>
      </x:c>
    </x:row>
    <x:row r="66" ht="27.600000381469727">
      <x:c r="A66" s="2" t="s">
        <x:v>395</x:v>
      </x:c>
      <x:c r="B66" s="2" t="s">
        <x:v>396</x:v>
      </x:c>
      <x:c r="C66" s="2" t="s">
        <x:v>230</x:v>
      </x:c>
      <x:c r="D66" s="2" t="s">
        <x:v>173</x:v>
      </x:c>
      <x:c r="E66" s="2" t="s">
        <x:v>397</x:v>
      </x:c>
      <x:c r="F66" s="2" t="s">
        <x:v>69</x:v>
      </x:c>
      <x:c r="G66" s="2"/>
      <x:c r="H66" s="2"/>
      <x:c r="I66" s="2"/>
      <x:c r="J66" s="2"/>
      <x:c r="K66" s="2" t="s">
        <x:v>221</x:v>
      </x:c>
    </x:row>
    <x:row r="67" ht="27.600000381469727">
      <x:c r="A67" s="2" t="s">
        <x:v>398</x:v>
      </x:c>
      <x:c r="B67" s="2" t="s">
        <x:v>399</x:v>
      </x:c>
      <x:c r="C67" s="2" t="s">
        <x:v>230</x:v>
      </x:c>
      <x:c r="D67" s="2" t="s">
        <x:v>98</x:v>
      </x:c>
      <x:c r="E67" s="2" t="s">
        <x:v>319</x:v>
      </x:c>
      <x:c r="F67" s="2" t="s">
        <x:v>65</x:v>
      </x:c>
      <x:c r="G67" s="2"/>
      <x:c r="H67" s="2"/>
      <x:c r="I67" s="2"/>
      <x:c r="J67" s="2"/>
      <x:c r="K67" s="2" t="s">
        <x:v>221</x:v>
      </x:c>
    </x:row>
    <x:row r="68" ht="27.600000381469727">
      <x:c r="A68" s="2" t="s">
        <x:v>400</x:v>
      </x:c>
      <x:c r="B68" s="2" t="s">
        <x:v>401</x:v>
      </x:c>
      <x:c r="C68" s="2" t="s">
        <x:v>230</x:v>
      </x:c>
      <x:c r="D68" s="2" t="s">
        <x:v>125</x:v>
      </x:c>
      <x:c r="E68" s="2" t="s">
        <x:v>279</x:v>
      </x:c>
      <x:c r="F68" s="2" t="s">
        <x:v>73</x:v>
      </x:c>
      <x:c r="G68" s="2"/>
      <x:c r="H68" s="2"/>
      <x:c r="I68" s="2"/>
      <x:c r="J68" s="2"/>
      <x:c r="K68" s="2" t="s">
        <x:v>221</x:v>
      </x:c>
    </x:row>
    <x:row r="69" ht="27.600000381469727">
      <x:c r="A69" s="2" t="s">
        <x:v>402</x:v>
      </x:c>
      <x:c r="B69" s="2" t="s">
        <x:v>403</x:v>
      </x:c>
      <x:c r="C69" s="2" t="s">
        <x:v>105</x:v>
      </x:c>
      <x:c r="D69" s="2" t="s">
        <x:v>191</x:v>
      </x:c>
      <x:c r="E69" s="2" t="s">
        <x:v>404</x:v>
      </x:c>
      <x:c r="F69" s="2" t="s">
        <x:v>67</x:v>
      </x:c>
      <x:c r="G69" s="2"/>
      <x:c r="H69" s="2"/>
      <x:c r="I69" s="2"/>
      <x:c r="J69" s="2"/>
      <x:c r="K69" s="2" t="s">
        <x:v>221</x:v>
      </x:c>
    </x:row>
    <x:row r="70" ht="27.600000381469727">
      <x:c r="A70" s="2" t="s">
        <x:v>405</x:v>
      </x:c>
      <x:c r="B70" s="2" t="s">
        <x:v>406</x:v>
      </x:c>
      <x:c r="C70" s="2" t="s">
        <x:v>105</x:v>
      </x:c>
      <x:c r="D70" s="2" t="s">
        <x:v>131</x:v>
      </x:c>
      <x:c r="E70" s="2" t="s">
        <x:v>407</x:v>
      </x:c>
      <x:c r="F70" s="2" t="s">
        <x:v>71</x:v>
      </x:c>
      <x:c r="G70" s="2"/>
      <x:c r="H70" s="2"/>
      <x:c r="I70" s="2"/>
      <x:c r="J70" s="2"/>
      <x:c r="K70" s="2" t="s">
        <x:v>221</x:v>
      </x:c>
    </x:row>
    <x:row r="71" ht="27.600000381469727">
      <x:c r="A71" s="2" t="s">
        <x:v>408</x:v>
      </x:c>
      <x:c r="B71" s="2" t="s">
        <x:v>409</x:v>
      </x:c>
      <x:c r="C71" s="2" t="s">
        <x:v>230</x:v>
      </x:c>
      <x:c r="D71" s="2" t="s">
        <x:v>159</x:v>
      </x:c>
      <x:c r="E71" s="2" t="s">
        <x:v>410</x:v>
      </x:c>
      <x:c r="F71" s="2" t="s">
        <x:v>75</x:v>
      </x:c>
      <x:c r="G71" s="2"/>
      <x:c r="H71" s="2"/>
      <x:c r="I71" s="2"/>
      <x:c r="J71" s="2"/>
      <x:c r="K71" s="2" t="s">
        <x:v>221</x:v>
      </x:c>
    </x:row>
    <x:row r="72" ht="27.600000381469727">
      <x:c r="A72" s="2" t="s">
        <x:v>411</x:v>
      </x:c>
      <x:c r="B72" s="2" t="s">
        <x:v>412</x:v>
      </x:c>
      <x:c r="C72" s="2" t="s">
        <x:v>230</x:v>
      </x:c>
      <x:c r="D72" s="2" t="s">
        <x:v>179</x:v>
      </x:c>
      <x:c r="E72" s="2" t="s">
        <x:v>413</x:v>
      </x:c>
      <x:c r="F72" s="2" t="s">
        <x:v>69</x:v>
      </x:c>
      <x:c r="G72" s="2"/>
      <x:c r="H72" s="2"/>
      <x:c r="I72" s="2"/>
      <x:c r="J72" s="2"/>
      <x:c r="K72" s="2" t="s">
        <x:v>221</x:v>
      </x:c>
    </x:row>
    <x:row r="73" ht="27.600000381469727">
      <x:c r="A73" s="2" t="s">
        <x:v>414</x:v>
      </x:c>
      <x:c r="B73" s="2" t="s">
        <x:v>415</x:v>
      </x:c>
      <x:c r="C73" s="2" t="s">
        <x:v>105</x:v>
      </x:c>
      <x:c r="D73" s="2" t="s">
        <x:v>167</x:v>
      </x:c>
      <x:c r="E73" s="2" t="s">
        <x:v>355</x:v>
      </x:c>
      <x:c r="F73" s="2" t="s">
        <x:v>67</x:v>
      </x:c>
      <x:c r="G73" s="2"/>
      <x:c r="H73" s="2"/>
      <x:c r="I73" s="2"/>
      <x:c r="J73" s="2"/>
      <x:c r="K73" s="2" t="s">
        <x:v>221</x:v>
      </x:c>
    </x:row>
    <x:row r="74" ht="27.600000381469727">
      <x:c r="A74" s="2" t="s">
        <x:v>416</x:v>
      </x:c>
      <x:c r="B74" s="2" t="s">
        <x:v>417</x:v>
      </x:c>
      <x:c r="C74" s="2" t="s">
        <x:v>105</x:v>
      </x:c>
      <x:c r="D74" s="2" t="s">
        <x:v>106</x:v>
      </x:c>
      <x:c r="E74" s="2" t="s">
        <x:v>234</x:v>
      </x:c>
      <x:c r="F74" s="2" t="s">
        <x:v>67</x:v>
      </x:c>
      <x:c r="G74" s="2"/>
      <x:c r="H74" s="2"/>
      <x:c r="I74" s="2"/>
      <x:c r="J74" s="2"/>
      <x:c r="K74" s="2" t="s">
        <x:v>221</x:v>
      </x:c>
    </x:row>
    <x:row r="75" ht="27.600000381469727">
      <x:c r="A75" s="2" t="s">
        <x:v>418</x:v>
      </x:c>
      <x:c r="B75" s="2" t="s">
        <x:v>419</x:v>
      </x:c>
      <x:c r="C75" s="2" t="s">
        <x:v>230</x:v>
      </x:c>
      <x:c r="D75" s="2" t="s">
        <x:v>177</x:v>
      </x:c>
      <x:c r="E75" s="2" t="s">
        <x:v>420</x:v>
      </x:c>
      <x:c r="F75" s="2" t="s">
        <x:v>65</x:v>
      </x:c>
      <x:c r="G75" s="2"/>
      <x:c r="H75" s="2"/>
      <x:c r="I75" s="2"/>
      <x:c r="J75" s="2"/>
      <x:c r="K75" s="2" t="s">
        <x:v>221</x:v>
      </x:c>
    </x:row>
  </x:sheetData>
  <x:mergeCells>
    <x:mergeCell ref="A1:K1"/>
    <x:mergeCell ref="A2:K2"/>
  </x:mergeCells>
  <x:conditionalFormatting sqref="K5:K75">
    <x:cfRule type="expression" dxfId="8" priority="1">
      <x:formula>K5="Coberto"</x:formula>
    </x:cfRule>
    <x:cfRule type="expression" dxfId="7" priority="2">
      <x:formula>K5="Cobertura múltipla justificada"</x:formula>
    </x:cfRule>
    <x:cfRule type="expression" dxfId="6" priority="3">
      <x:formula>K5="Sem cobertura"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303602379a472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3.800000190734863"/>
  <x:cols>
    <x:col min="1" max="1" width="9" customWidth="1"/>
    <x:col min="2" max="2" width="36" customWidth="1"/>
    <x:col min="3" max="3" width="12" customWidth="1"/>
    <x:col min="4" max="4" width="36" customWidth="1"/>
    <x:col min="5" max="5" width="76" customWidth="1"/>
  </x:cols>
  <x:sheetData>
    <x:row r="1" ht="22.350000381469727" customHeight="1">
      <x:c r="A1" s="6" t="s">
        <x:v>421</x:v>
      </x:c>
      <x:c r="B1" s="6"/>
      <x:c r="C1" s="6"/>
      <x:c r="D1" s="6"/>
      <x:c r="E1" s="6"/>
    </x:row>
    <x:row r="2" ht="27.149999618530273" customHeight="1">
      <x:c r="A2" s="7" t="s">
        <x:v>422</x:v>
      </x:c>
      <x:c r="B2" s="7"/>
      <x:c r="C2" s="7"/>
      <x:c r="D2" s="7"/>
      <x:c r="E2" s="7"/>
    </x:row>
    <x:row r="4" ht="24" customHeight="1">
      <x:c r="A4" s="1" t="s">
        <x:v>80</x:v>
      </x:c>
      <x:c r="B4" s="1" t="s">
        <x:v>195</x:v>
      </x:c>
      <x:c r="C4" s="1" t="s">
        <x:v>423</x:v>
      </x:c>
      <x:c r="D4" s="1" t="s">
        <x:v>424</x:v>
      </x:c>
      <x:c r="E4" s="1" t="s">
        <x:v>425</x:v>
      </x:c>
    </x:row>
    <x:row r="5">
      <x:c r="A5" s="2" t="str">
        <x:v>US02</x:v>
      </x:c>
      <x:c r="B5" s="2" t="str">
        <x:v>Detalhamento de transações</x:v>
      </x:c>
      <x:c r="C5" s="2" t="str">
        <x:v>US01</x:v>
      </x:c>
      <x:c r="D5" s="2" t="str">
        <x:v>Registro manual de transações</x:v>
      </x:c>
      <x:c r="E5" s="2" t="str">
        <x:v>Os detalhes complementam uma transação já existente.</x:v>
      </x:c>
    </x:row>
    <x:row r="6">
      <x:c r="A6" s="2" t="str">
        <x:v>US03</x:v>
      </x:c>
      <x:c r="B6" s="2" t="str">
        <x:v>Consulta, busca e filtros de transações</x:v>
      </x:c>
      <x:c r="C6" s="2" t="str">
        <x:v>US01</x:v>
      </x:c>
      <x:c r="D6" s="2" t="str">
        <x:v>Registro manual de transações</x:v>
      </x:c>
      <x:c r="E6" s="2" t="str">
        <x:v>Busca e filtros operam sobre transações registradas.</x:v>
      </x:c>
    </x:row>
    <x:row r="7">
      <x:c r="A7" s="2" t="str">
        <x:v>US03</x:v>
      </x:c>
      <x:c r="B7" s="2" t="str">
        <x:v>Consulta, busca e filtros de transações</x:v>
      </x:c>
      <x:c r="C7" s="2" t="str">
        <x:v>US02</x:v>
      </x:c>
      <x:c r="D7" s="2" t="str">
        <x:v>Detalhamento de transações</x:v>
      </x:c>
      <x:c r="E7" s="2" t="str">
        <x:v>O filtro por método de pagamento do RF58 exige esse atributo registrado na transação.</x:v>
      </x:c>
    </x:row>
    <x:row r="8">
      <x:c r="A8" s="2" t="str">
        <x:v>US04</x:v>
      </x:c>
      <x:c r="B8" s="2" t="str">
        <x:v>Auditoria de transações</x:v>
      </x:c>
      <x:c r="C8" s="2" t="str">
        <x:v>US01</x:v>
      </x:c>
      <x:c r="D8" s="2" t="str">
        <x:v>Registro manual de transações</x:v>
      </x:c>
      <x:c r="E8" s="2" t="str">
        <x:v>A auditoria registra alterações realizadas em transações.</x:v>
      </x:c>
    </x:row>
    <x:row r="9">
      <x:c r="A9" s="2" t="str">
        <x:v>US06</x:v>
      </x:c>
      <x:c r="B9" s="2" t="str">
        <x:v>Orçamento mensal por categoria</x:v>
      </x:c>
      <x:c r="C9" s="2" t="str">
        <x:v>US01</x:v>
      </x:c>
      <x:c r="D9" s="2" t="str">
        <x:v>Registro manual de transações</x:v>
      </x:c>
      <x:c r="E9" s="2" t="str">
        <x:v>O consumo do orçamento é apurado a partir das despesas registradas.</x:v>
      </x:c>
    </x:row>
    <x:row r="10">
      <x:c r="A10" s="2" t="str">
        <x:v>US06</x:v>
      </x:c>
      <x:c r="B10" s="2" t="str">
        <x:v>Orçamento mensal por categoria</x:v>
      </x:c>
      <x:c r="C10" s="2" t="str">
        <x:v>US05</x:v>
      </x:c>
      <x:c r="D10" s="2" t="str">
        <x:v>Categorias e subcategorias</x:v>
      </x:c>
      <x:c r="E10" s="2" t="str">
        <x:v>O orçamento mensal é definido por categoria.</x:v>
      </x:c>
    </x:row>
    <x:row r="11" ht="27.600000381469727">
      <x:c r="A11" s="2" t="str">
        <x:v>US07</x:v>
      </x:c>
      <x:c r="B11" s="2" t="str">
        <x:v>Orçamentos flexíveis, temporários e por evento</x:v>
      </x:c>
      <x:c r="C11" s="2" t="str">
        <x:v>US06</x:v>
      </x:c>
      <x:c r="D11" s="2" t="str">
        <x:v>Orçamento mensal por categoria</x:v>
      </x:c>
      <x:c r="E11" s="2" t="str">
        <x:v>Os orçamentos flexíveis/temporários/evento estendem o mecanismo de orçamento já estabelecido, conforme a consolidação de RN-ORC-02/RN-ORC-03.</x:v>
      </x:c>
    </x:row>
    <x:row r="12">
      <x:c r="A12" s="2" t="str">
        <x:v>US09</x:v>
      </x:c>
      <x:c r="B12" s="2" t="str">
        <x:v>Orçamento zero-based</x:v>
      </x:c>
      <x:c r="C12" s="2" t="str">
        <x:v>US01</x:v>
      </x:c>
      <x:c r="D12" s="2" t="str">
        <x:v>Registro manual de transações</x:v>
      </x:c>
      <x:c r="E12" s="2" t="str">
        <x:v>O orçamento zero usa a renda do período registrada no domínio financeiro.</x:v>
      </x:c>
    </x:row>
    <x:row r="13">
      <x:c r="A13" s="2" t="str">
        <x:v>US09</x:v>
      </x:c>
      <x:c r="B13" s="2" t="str">
        <x:v>Orçamento zero-based</x:v>
      </x:c>
      <x:c r="C13" s="2" t="str">
        <x:v>US05</x:v>
      </x:c>
      <x:c r="D13" s="2" t="str">
        <x:v>Categorias e subcategorias</x:v>
      </x:c>
      <x:c r="E13" s="2" t="str">
        <x:v>A renda precisa ser distribuída entre categorias.</x:v>
      </x:c>
    </x:row>
    <x:row r="14">
      <x:c r="A14" s="2" t="str">
        <x:v>US11</x:v>
      </x:c>
      <x:c r="B14" s="2" t="str">
        <x:v>Compartilhamento de metas</x:v>
      </x:c>
      <x:c r="C14" s="2" t="str">
        <x:v>US10</x:v>
      </x:c>
      <x:c r="D14" s="2" t="str">
        <x:v>Metas de economia</x:v>
      </x:c>
      <x:c r="E14" s="2" t="str">
        <x:v>O compartilhamento exige uma meta existente e seu progresso.</x:v>
      </x:c>
    </x:row>
    <x:row r="15">
      <x:c r="A15" s="2" t="str">
        <x:v>US12</x:v>
      </x:c>
      <x:c r="B15" s="2" t="str">
        <x:v>Reflexão antes da compra</x:v>
      </x:c>
      <x:c r="C15" s="2" t="str">
        <x:v>US01</x:v>
      </x:c>
      <x:c r="D15" s="2" t="str">
        <x:v>Registro manual de transações</x:v>
      </x:c>
      <x:c r="E15" s="2" t="str">
        <x:v>A pergunta reflexiva ocorre no fluxo de registro de compra.</x:v>
      </x:c>
    </x:row>
    <x:row r="16" ht="27.600000381469727">
      <x:c r="A16" s="2" t="str">
        <x:v>US12</x:v>
      </x:c>
      <x:c r="B16" s="2" t="str">
        <x:v>Reflexão antes da compra</x:v>
      </x:c>
      <x:c r="C16" s="2" t="str">
        <x:v>US02</x:v>
      </x:c>
      <x:c r="D16" s="2" t="str">
        <x:v>Detalhamento de transações</x:v>
      </x:c>
      <x:c r="E16" s="2" t="str">
        <x:v>RF70 depende da classificação de compra não essencial, tratada como atributo da transação.</x:v>
      </x:c>
    </x:row>
    <x:row r="17">
      <x:c r="A17" s="2" t="str">
        <x:v>US13</x:v>
      </x:c>
      <x:c r="B17" s="2" t="str">
        <x:v>Relatórios gráficos de gastos</x:v>
      </x:c>
      <x:c r="C17" s="2" t="str">
        <x:v>US01</x:v>
      </x:c>
      <x:c r="D17" s="2" t="str">
        <x:v>Registro manual de transações</x:v>
      </x:c>
      <x:c r="E17" s="2" t="str">
        <x:v>Os relatórios usam as despesas registradas.</x:v>
      </x:c>
    </x:row>
    <x:row r="18">
      <x:c r="A18" s="2" t="str">
        <x:v>US13</x:v>
      </x:c>
      <x:c r="B18" s="2" t="str">
        <x:v>Relatórios gráficos de gastos</x:v>
      </x:c>
      <x:c r="C18" s="2" t="str">
        <x:v>US05</x:v>
      </x:c>
      <x:c r="D18" s="2" t="str">
        <x:v>Categorias e subcategorias</x:v>
      </x:c>
      <x:c r="E18" s="2" t="str">
        <x:v>A distribuição é apresentada por categoria.</x:v>
      </x:c>
    </x:row>
    <x:row r="19">
      <x:c r="A19" s="2" t="str">
        <x:v>US14</x:v>
      </x:c>
      <x:c r="B19" s="2" t="str">
        <x:v>Exportação de dados financeiros</x:v>
      </x:c>
      <x:c r="C19" s="2" t="str">
        <x:v>US01</x:v>
      </x:c>
      <x:c r="D19" s="2" t="str">
        <x:v>Registro manual de transações</x:v>
      </x:c>
      <x:c r="E19" s="2" t="str">
        <x:v>A exportação utiliza os dados financeiros/transações registrados.</x:v>
      </x:c>
    </x:row>
    <x:row r="20">
      <x:c r="A20" s="2" t="str">
        <x:v>US15</x:v>
      </x:c>
      <x:c r="B20" s="2" t="str">
        <x:v>Dashboard financeiro</x:v>
      </x:c>
      <x:c r="C20" s="2" t="str">
        <x:v>US01</x:v>
      </x:c>
      <x:c r="D20" s="2" t="str">
        <x:v>Registro manual de transações</x:v>
      </x:c>
      <x:c r="E20" s="2" t="str">
        <x:v>Saldo e gastos do mês são derivados das transações.</x:v>
      </x:c>
    </x:row>
    <x:row r="21">
      <x:c r="A21" s="2" t="str">
        <x:v>US15</x:v>
      </x:c>
      <x:c r="B21" s="2" t="str">
        <x:v>Dashboard financeiro</x:v>
      </x:c>
      <x:c r="C21" s="2" t="str">
        <x:v>US10</x:v>
      </x:c>
      <x:c r="D21" s="2" t="str">
        <x:v>Metas de economia</x:v>
      </x:c>
      <x:c r="E21" s="2" t="str">
        <x:v>O dashboard exibe o progresso das metas de economia.</x:v>
      </x:c>
    </x:row>
    <x:row r="22">
      <x:c r="A22" s="2" t="str">
        <x:v>US16</x:v>
      </x:c>
      <x:c r="B22" s="2" t="str">
        <x:v>Lembretes inteligentes de transações</x:v>
      </x:c>
      <x:c r="C22" s="2" t="str">
        <x:v>US01</x:v>
      </x:c>
      <x:c r="D22" s="2" t="str">
        <x:v>Registro manual de transações</x:v>
      </x:c>
      <x:c r="E22" s="2" t="str">
        <x:v>Os lembretes inteligentes podem usar o histórico de gastos/transações.</x:v>
      </x:c>
    </x:row>
    <x:row r="23">
      <x:c r="A23" s="2" t="str">
        <x:v>US19</x:v>
      </x:c>
      <x:c r="B23" s="2" t="str">
        <x:v>Anexo de recibo à despesa</x:v>
      </x:c>
      <x:c r="C23" s="2" t="str">
        <x:v>US01</x:v>
      </x:c>
      <x:c r="D23" s="2" t="str">
        <x:v>Registro manual de transações</x:v>
      </x:c>
      <x:c r="E23" s="2" t="str">
        <x:v>O recibo é anexado durante o registro de uma despesa.</x:v>
      </x:c>
    </x:row>
    <x:row r="24">
      <x:c r="A24" s="2" t="str">
        <x:v>US20</x:v>
      </x:c>
      <x:c r="B24" s="2" t="str">
        <x:v>Regras de automação de classificação</x:v>
      </x:c>
      <x:c r="C24" s="2" t="str">
        <x:v>US01</x:v>
      </x:c>
      <x:c r="D24" s="2" t="str">
        <x:v>Registro manual de transações</x:v>
      </x:c>
      <x:c r="E24" s="2" t="str">
        <x:v>As regras de automação são aplicadas a transações.</x:v>
      </x:c>
    </x:row>
    <x:row r="25">
      <x:c r="A25" s="2" t="str">
        <x:v>US20</x:v>
      </x:c>
      <x:c r="B25" s="2" t="str">
        <x:v>Regras de automação de classificação</x:v>
      </x:c>
      <x:c r="C25" s="2" t="str">
        <x:v>US05</x:v>
      </x:c>
      <x:c r="D25" s="2" t="str">
        <x:v>Categorias e subcategorias</x:v>
      </x:c>
      <x:c r="E25" s="2" t="str">
        <x:v>As regras podem usar categoria/subcategoria como condição.</x:v>
      </x:c>
    </x:row>
    <x:row r="26">
      <x:c r="A26" s="2" t="str">
        <x:v>US21</x:v>
      </x:c>
      <x:c r="B26" s="2" t="str">
        <x:v>Sincronização entre dispositivos</x:v>
      </x:c>
      <x:c r="C26" s="2" t="str">
        <x:v>US01</x:v>
      </x:c>
      <x:c r="D26" s="2" t="str">
        <x:v>Registro manual de transações</x:v>
      </x:c>
      <x:c r="E26" s="2" t="str">
        <x:v>A sincronização precisa de dados financeiros persistidos para transportar entre dispositivos.</x:v>
      </x:c>
    </x:row>
    <x:row r="27" ht="27.600000381469727">
      <x:c r="A27" s="2" t="str">
        <x:v>US21</x:v>
      </x:c>
      <x:c r="B27" s="2" t="str">
        <x:v>Sincronização entre dispositivos</x:v>
      </x:c>
      <x:c r="C27" s="2" t="str">
        <x:v>US18</x:v>
      </x:c>
      <x:c r="D27" s="2" t="str">
        <x:v>Perfis financeiros múltiplos</x:v>
      </x:c>
      <x:c r="E27" s="2" t="str">
        <x:v>A sincronização mantém o isolamento do perfil ativo, conforme RN-PERFIL-01 e RN-ID-01. Conta/login formalizados na US60.</x:v>
      </x:c>
    </x:row>
    <x:row r="28">
      <x:c r="A28" s="2" t="str">
        <x:v>US22</x:v>
      </x:c>
      <x:c r="B28" s="2" t="str">
        <x:v>Conversão de moedas</x:v>
      </x:c>
      <x:c r="C28" s="2" t="str">
        <x:v>US01</x:v>
      </x:c>
      <x:c r="D28" s="2" t="str">
        <x:v>Registro manual de transações</x:v>
      </x:c>
      <x:c r="E28" s="2" t="str">
        <x:v>A conversão ocorre no registro de gastos em moeda estrangeira.</x:v>
      </x:c>
    </x:row>
    <x:row r="29">
      <x:c r="A29" s="2" t="str">
        <x:v>US22</x:v>
      </x:c>
      <x:c r="B29" s="2" t="str">
        <x:v>Conversão de moedas</x:v>
      </x:c>
      <x:c r="C29" s="2" t="str">
        <x:v>US18</x:v>
      </x:c>
      <x:c r="D29" s="2" t="str">
        <x:v>Perfis financeiros múltiplos</x:v>
      </x:c>
      <x:c r="E29" s="2" t="str">
        <x:v>A moeda-base pertence ao perfil financeiro.</x:v>
      </x:c>
    </x:row>
    <x:row r="30">
      <x:c r="A30" s="2" t="str">
        <x:v>US24</x:v>
      </x:c>
      <x:c r="B30" s="2" t="str">
        <x:v>Recorrências e lembretes de vencimento</x:v>
      </x:c>
      <x:c r="C30" s="2" t="str">
        <x:v>US01</x:v>
      </x:c>
      <x:c r="D30" s="2" t="str">
        <x:v>Registro manual de transações</x:v>
      </x:c>
      <x:c r="E30" s="2" t="str">
        <x:v>Recorrências e transações futuras geram/associam lançamentos financeiros.</x:v>
      </x:c>
    </x:row>
    <x:row r="31">
      <x:c r="A31" s="2" t="str">
        <x:v>US25</x:v>
      </x:c>
      <x:c r="B31" s="2" t="str">
        <x:v>Métricas financeiras</x:v>
      </x:c>
      <x:c r="C31" s="2" t="str">
        <x:v>US01</x:v>
      </x:c>
      <x:c r="D31" s="2" t="str">
        <x:v>Registro manual de transações</x:v>
      </x:c>
      <x:c r="E31" s="2" t="str">
        <x:v>As métricas são calculadas a partir dos dados financeiros registrados.</x:v>
      </x:c>
    </x:row>
    <x:row r="32">
      <x:c r="A32" s="2" t="str">
        <x:v>US27</x:v>
      </x:c>
      <x:c r="B32" s="2" t="str">
        <x:v>Simulação de impacto de compras</x:v>
      </x:c>
      <x:c r="C32" s="2" t="str">
        <x:v>US06</x:v>
      </x:c>
      <x:c r="D32" s="2" t="str">
        <x:v>Orçamento mensal por categoria</x:v>
      </x:c>
      <x:c r="E32" s="2" t="str">
        <x:v>RF25/RF60 medem impacto sobre orçamento atual e futuro.</x:v>
      </x:c>
    </x:row>
    <x:row r="33">
      <x:c r="A33" s="2" t="str">
        <x:v>US29</x:v>
      </x:c>
      <x:c r="B33" s="2" t="str">
        <x:v>Limites de gastos e alertas</x:v>
      </x:c>
      <x:c r="C33" s="2" t="str">
        <x:v>US01</x:v>
      </x:c>
      <x:c r="D33" s="2" t="str">
        <x:v>Registro manual de transações</x:v>
      </x:c>
      <x:c r="E33" s="2" t="str">
        <x:v>Limites e alertas dependem dos gastos efetivamente registrados.</x:v>
      </x:c>
    </x:row>
    <x:row r="34">
      <x:c r="A34" s="2" t="str">
        <x:v>US29</x:v>
      </x:c>
      <x:c r="B34" s="2" t="str">
        <x:v>Limites de gastos e alertas</x:v>
      </x:c>
      <x:c r="C34" s="2" t="str">
        <x:v>US05</x:v>
      </x:c>
      <x:c r="D34" s="2" t="str">
        <x:v>Categorias e subcategorias</x:v>
      </x:c>
      <x:c r="E34" s="2" t="str">
        <x:v>RF54 aplica limite a uma categoria específica.</x:v>
      </x:c>
    </x:row>
    <x:row r="35">
      <x:c r="A35" s="2" t="str">
        <x:v>US32</x:v>
      </x:c>
      <x:c r="B35" s="2" t="str">
        <x:v>Previsão de saldo e fluxo de caixa</x:v>
      </x:c>
      <x:c r="C35" s="2" t="str">
        <x:v>US01</x:v>
      </x:c>
      <x:c r="D35" s="2" t="str">
        <x:v>Registro manual de transações</x:v>
      </x:c>
      <x:c r="E35" s="2" t="str">
        <x:v>A projeção parte do histórico e dos lançamentos financeiros.</x:v>
      </x:c>
    </x:row>
    <x:row r="36">
      <x:c r="A36" s="2" t="str">
        <x:v>US32</x:v>
      </x:c>
      <x:c r="B36" s="2" t="str">
        <x:v>Previsão de saldo e fluxo de caixa</x:v>
      </x:c>
      <x:c r="C36" s="2" t="str">
        <x:v>US24</x:v>
      </x:c>
      <x:c r="D36" s="2" t="str">
        <x:v>Recorrências e lembretes de vencimento</x:v>
      </x:c>
      <x:c r="E36" s="2" t="str">
        <x:v>RF14/RF38 utilizam receitas/despesas programadas, recorrentes e agendadas.</x:v>
      </x:c>
    </x:row>
    <x:row r="37">
      <x:c r="A37" s="2" t="str">
        <x:v>US33</x:v>
      </x:c>
      <x:c r="B37" s="2" t="str">
        <x:v>Finanças compartilhadas</x:v>
      </x:c>
      <x:c r="C37" s="2" t="str">
        <x:v>US01</x:v>
      </x:c>
      <x:c r="D37" s="2" t="str">
        <x:v>Registro manual de transações</x:v>
      </x:c>
      <x:c r="E37" s="2" t="str">
        <x:v>A divisão compartilhada é atributo/comportamento de uma transação.</x:v>
      </x:c>
    </x:row>
    <x:row r="38" ht="27.600000381469727">
      <x:c r="A38" s="2" t="str">
        <x:v>US34</x:v>
      </x:c>
      <x:c r="B38" s="2" t="str">
        <x:v>Gastos por localização e categorização pelo estabelecimento</x:v>
      </x:c>
      <x:c r="C38" s="2" t="str">
        <x:v>US01</x:v>
      </x:c>
      <x:c r="D38" s="2" t="str">
        <x:v>Registro manual de transações</x:v>
      </x:c>
      <x:c r="E38" s="2" t="str">
        <x:v>A localização do estabelecimento é associada à compra/transação que será categorizada.</x:v>
      </x:c>
    </x:row>
    <x:row r="39">
      <x:c r="A39" s="2" t="str">
        <x:v>US35</x:v>
      </x:c>
      <x:c r="B39" s="2" t="str">
        <x:v>Tendências de gastos</x:v>
      </x:c>
      <x:c r="C39" s="2" t="str">
        <x:v>US01</x:v>
      </x:c>
      <x:c r="D39" s="2" t="str">
        <x:v>Registro manual de transações</x:v>
      </x:c>
      <x:c r="E39" s="2" t="str">
        <x:v>A tendência usa o histórico de gastos.</x:v>
      </x:c>
    </x:row>
    <x:row r="40">
      <x:c r="A40" s="2" t="str">
        <x:v>US35</x:v>
      </x:c>
      <x:c r="B40" s="2" t="str">
        <x:v>Tendências de gastos</x:v>
      </x:c>
      <x:c r="C40" s="2" t="str">
        <x:v>US05</x:v>
      </x:c>
      <x:c r="D40" s="2" t="str">
        <x:v>Categorias e subcategorias</x:v>
      </x:c>
      <x:c r="E40" s="2" t="str">
        <x:v>A tendência é calculada por categoria.</x:v>
      </x:c>
    </x:row>
    <x:row r="41">
      <x:c r="A41" s="2" t="str">
        <x:v>US36</x:v>
      </x:c>
      <x:c r="B41" s="2" t="str">
        <x:v>Atalho de acesso rápido</x:v>
      </x:c>
      <x:c r="C41" s="2" t="str">
        <x:v>US01</x:v>
      </x:c>
      <x:c r="D41" s="2" t="str">
        <x:v>Registro manual de transações</x:v>
      </x:c>
      <x:c r="E41" s="2" t="str">
        <x:v>O atalho abre diretamente o fluxo de nova transação.</x:v>
      </x:c>
    </x:row>
    <x:row r="42">
      <x:c r="A42" s="2" t="str">
        <x:v>US39</x:v>
      </x:c>
      <x:c r="B42" s="2" t="str">
        <x:v>Pegada de carbono do consumo</x:v>
      </x:c>
      <x:c r="C42" s="2" t="str">
        <x:v>US01</x:v>
      </x:c>
      <x:c r="D42" s="2" t="str">
        <x:v>Registro manual de transações</x:v>
      </x:c>
      <x:c r="E42" s="2" t="str">
        <x:v>A estimativa usa padrões de consumo derivados das transações.</x:v>
      </x:c>
    </x:row>
    <x:row r="43">
      <x:c r="A43" s="2" t="str">
        <x:v>US39</x:v>
      </x:c>
      <x:c r="B43" s="2" t="str">
        <x:v>Pegada de carbono do consumo</x:v>
      </x:c>
      <x:c r="C43" s="2" t="str">
        <x:v>US05</x:v>
      </x:c>
      <x:c r="D43" s="2" t="str">
        <x:v>Categorias e subcategorias</x:v>
      </x:c>
      <x:c r="E43" s="2" t="str">
        <x:v>A metodologia pode depender de categorias de consumo.</x:v>
      </x:c>
    </x:row>
    <x:row r="44">
      <x:c r="A44" s="2" t="str">
        <x:v>US40</x:v>
      </x:c>
      <x:c r="B44" s="2" t="str">
        <x:v>Comparação orçado x realizado</x:v>
      </x:c>
      <x:c r="C44" s="2" t="str">
        <x:v>US01</x:v>
      </x:c>
      <x:c r="D44" s="2" t="str">
        <x:v>Registro manual de transações</x:v>
      </x:c>
      <x:c r="E44" s="2" t="str">
        <x:v>O realizado vem das transações registradas.</x:v>
      </x:c>
    </x:row>
    <x:row r="45">
      <x:c r="A45" s="2" t="str">
        <x:v>US40</x:v>
      </x:c>
      <x:c r="B45" s="2" t="str">
        <x:v>Comparação orçado x realizado</x:v>
      </x:c>
      <x:c r="C45" s="2" t="str">
        <x:v>US06</x:v>
      </x:c>
      <x:c r="D45" s="2" t="str">
        <x:v>Orçamento mensal por categoria</x:v>
      </x:c>
      <x:c r="E45" s="2" t="str">
        <x:v>A comparação exige um orçamento planejado.</x:v>
      </x:c>
    </x:row>
    <x:row r="46">
      <x:c r="A46" s="2" t="str">
        <x:v>US42</x:v>
      </x:c>
      <x:c r="B46" s="2" t="str">
        <x:v>Importação de dados financeiros</x:v>
      </x:c>
      <x:c r="C46" s="2" t="str">
        <x:v>US01</x:v>
      </x:c>
      <x:c r="D46" s="2" t="str">
        <x:v>Registro manual de transações</x:v>
      </x:c>
      <x:c r="E46" s="2" t="str">
        <x:v>A importação popula o mesmo modelo de transações financeiras.</x:v>
      </x:c>
    </x:row>
    <x:row r="47">
      <x:c r="A47" s="2" t="str">
        <x:v>US44</x:v>
      </x:c>
      <x:c r="B47" s="2" t="str">
        <x:v>Reversão de transação</x:v>
      </x:c>
      <x:c r="C47" s="2" t="str">
        <x:v>US01</x:v>
      </x:c>
      <x:c r="D47" s="2" t="str">
        <x:v>Registro manual de transações</x:v>
      </x:c>
      <x:c r="E47" s="2" t="str">
        <x:v>Só é possível reverter uma transação existente.</x:v>
      </x:c>
    </x:row>
    <x:row r="48">
      <x:c r="A48" s="2" t="str">
        <x:v>US44</x:v>
      </x:c>
      <x:c r="B48" s="2" t="str">
        <x:v>Reversão de transação</x:v>
      </x:c>
      <x:c r="C48" s="2" t="str">
        <x:v>US04</x:v>
      </x:c>
      <x:c r="D48" s="2" t="str">
        <x:v>Auditoria de transações</x:v>
      </x:c>
      <x:c r="E48" s="2" t="str">
        <x:v>A reversão deve preservar a rastreabilidade/auditoria da exclusão.</x:v>
      </x:c>
    </x:row>
    <x:row r="49">
      <x:c r="A49" s="2" t="str">
        <x:v>US45</x:v>
      </x:c>
      <x:c r="B49" s="2" t="str">
        <x:v>Cota de gastos livres</x:v>
      </x:c>
      <x:c r="C49" s="2" t="str">
        <x:v>US06</x:v>
      </x:c>
      <x:c r="D49" s="2" t="str">
        <x:v>Orçamento mensal por categoria</x:v>
      </x:c>
      <x:c r="E49" s="2" t="str">
        <x:v>A cota livre é um mecanismo mensal de flexibilidade do orçamento.</x:v>
      </x:c>
    </x:row>
    <x:row r="50">
      <x:c r="A50" s="2" t="str">
        <x:v>US47</x:v>
      </x:c>
      <x:c r="B50" s="2" t="str">
        <x:v>Conquistas e certificado de desafios</x:v>
      </x:c>
      <x:c r="C50" s="2" t="str">
        <x:v>US17</x:v>
      </x:c>
      <x:c r="D50" s="2" t="str">
        <x:v>Desafio de economia</x:v>
      </x:c>
      <x:c r="E50" s="2" t="str">
        <x:v>O certificado/conquista pode decorrer da conclusão do desafio de economia.</x:v>
      </x:c>
    </x:row>
    <x:row r="51" ht="27.600000381469727">
      <x:c r="A51" s="2" t="str">
        <x:v>US47</x:v>
      </x:c>
      <x:c r="B51" s="2" t="str">
        <x:v>Conquistas e certificado de desafios</x:v>
      </x:c>
      <x:c r="C51" s="2" t="str">
        <x:v>US59</x:v>
      </x:c>
      <x:c r="D51" s="2" t="str">
        <x:v>Desafio de despesas essenciais</x:v>
      </x:c>
      <x:c r="E51" s="2" t="str">
        <x:v>O certificado/conquista também pode decorrer de outros desafios concluídos, incluindo o de despesas essenciais.</x:v>
      </x:c>
    </x:row>
    <x:row r="52">
      <x:c r="A52" s="2" t="str">
        <x:v>US48</x:v>
      </x:c>
      <x:c r="B52" s="2" t="str">
        <x:v>Sugestão inteligente de categoria</x:v>
      </x:c>
      <x:c r="C52" s="2" t="str">
        <x:v>US01</x:v>
      </x:c>
      <x:c r="D52" s="2" t="str">
        <x:v>Registro manual de transações</x:v>
      </x:c>
      <x:c r="E52" s="2" t="str">
        <x:v>A sugestão usa descrições anteriores de transações do usuário.</x:v>
      </x:c>
    </x:row>
    <x:row r="53">
      <x:c r="A53" s="2" t="str">
        <x:v>US48</x:v>
      </x:c>
      <x:c r="B53" s="2" t="str">
        <x:v>Sugestão inteligente de categoria</x:v>
      </x:c>
      <x:c r="C53" s="2" t="str">
        <x:v>US05</x:v>
      </x:c>
      <x:c r="D53" s="2" t="str">
        <x:v>Categorias e subcategorias</x:v>
      </x:c>
      <x:c r="E53" s="2" t="str">
        <x:v>A saída da sugestão é uma categoria existente.</x:v>
      </x:c>
    </x:row>
    <x:row r="54">
      <x:c r="A54" s="2" t="str">
        <x:v>US50</x:v>
      </x:c>
      <x:c r="B54" s="2" t="str">
        <x:v>Indicador de saúde financeira</x:v>
      </x:c>
      <x:c r="C54" s="2" t="str">
        <x:v>US25</x:v>
      </x:c>
      <x:c r="D54" s="2" t="str">
        <x:v>Métricas financeiras</x:v>
      </x:c>
      <x:c r="E54" s="2" t="str">
        <x:v>O indicador de saúde usa múltiplas métricas; fórmula e demais fontes ainda são pendentes.</x:v>
      </x:c>
    </x:row>
    <x:row r="55">
      <x:c r="A55" s="2" t="str">
        <x:v>US51</x:v>
      </x:c>
      <x:c r="B55" s="2" t="str">
        <x:v>Planejador de grandes compras</x:v>
      </x:c>
      <x:c r="C55" s="2" t="str">
        <x:v>US06</x:v>
      </x:c>
      <x:c r="D55" s="2" t="str">
        <x:v>Orçamento mensal por categoria</x:v>
      </x:c>
      <x:c r="E55" s="2" t="str">
        <x:v>O plano mensal da grande compra precisa caber no orçamento.</x:v>
      </x:c>
    </x:row>
    <x:row r="56">
      <x:c r="A56" s="2" t="str">
        <x:v>US52</x:v>
      </x:c>
      <x:c r="B56" s="2" t="str">
        <x:v>Regras de gastos</x:v>
      </x:c>
      <x:c r="C56" s="2" t="str">
        <x:v>US01</x:v>
      </x:c>
      <x:c r="D56" s="2" t="str">
        <x:v>Registro manual de transações</x:v>
      </x:c>
      <x:c r="E56" s="2" t="str">
        <x:v>As regras de gastos são avaliadas sobre gastos/renda registrados.</x:v>
      </x:c>
    </x:row>
    <x:row r="57">
      <x:c r="A57" s="2" t="str">
        <x:v>US52</x:v>
      </x:c>
      <x:c r="B57" s="2" t="str">
        <x:v>Regras de gastos</x:v>
      </x:c>
      <x:c r="C57" s="2" t="str">
        <x:v>US05</x:v>
      </x:c>
      <x:c r="D57" s="2" t="str">
        <x:v>Categorias e subcategorias</x:v>
      </x:c>
      <x:c r="E57" s="2" t="str">
        <x:v>Regras podem se aplicar a categorias, como no exemplo de lazer.</x:v>
      </x:c>
    </x:row>
    <x:row r="58">
      <x:c r="A58" s="2" t="str">
        <x:v>US53</x:v>
      </x:c>
      <x:c r="B58" s="2" t="str">
        <x:v>Resumo financeiro mensal em PDF</x:v>
      </x:c>
      <x:c r="C58" s="2" t="str">
        <x:v>US01</x:v>
      </x:c>
      <x:c r="D58" s="2" t="str">
        <x:v>Registro manual de transações</x:v>
      </x:c>
      <x:c r="E58" s="2" t="str">
        <x:v>O resumo mensal é produzido a partir dos dados financeiros do período.</x:v>
      </x:c>
    </x:row>
    <x:row r="59">
      <x:c r="A59" s="2" t="str">
        <x:v>US54</x:v>
      </x:c>
      <x:c r="B59" s="2" t="str">
        <x:v>Resumo semanal por notificação</x:v>
      </x:c>
      <x:c r="C59" s="2" t="str">
        <x:v>US01</x:v>
      </x:c>
      <x:c r="D59" s="2" t="str">
        <x:v>Registro manual de transações</x:v>
      </x:c>
      <x:c r="E59" s="2" t="str">
        <x:v>O resumo semanal destaca os maiores gastos do período.</x:v>
      </x:c>
    </x:row>
    <x:row r="60">
      <x:c r="A60" s="2" t="str">
        <x:v>US54</x:v>
      </x:c>
      <x:c r="B60" s="2" t="str">
        <x:v>Resumo semanal por notificação</x:v>
      </x:c>
      <x:c r="C60" s="2" t="str">
        <x:v>US06</x:v>
      </x:c>
      <x:c r="D60" s="2" t="str">
        <x:v>Orçamento mensal por categoria</x:v>
      </x:c>
      <x:c r="E60" s="2" t="str">
        <x:v>RF26 exige também o progresso em relação ao orçamento.</x:v>
      </x:c>
    </x:row>
    <x:row r="61">
      <x:c r="A61" s="2" t="str">
        <x:v>US55</x:v>
      </x:c>
      <x:c r="B61" s="2" t="str">
        <x:v>Digitalização de recibos por OCR</x:v>
      </x:c>
      <x:c r="C61" s="2" t="str">
        <x:v>US19</x:v>
      </x:c>
      <x:c r="D61" s="2" t="str">
        <x:v>Anexo de recibo à despesa</x:v>
      </x:c>
      <x:c r="E61" s="2" t="str">
        <x:v>OCR é uma extensão da captura/anexo do recibo.</x:v>
      </x:c>
    </x:row>
    <x:row r="62">
      <x:c r="A62" s="2" t="str">
        <x:v>US58</x:v>
      </x:c>
      <x:c r="B62" s="2" t="str">
        <x:v>Taxa de realização de metas</x:v>
      </x:c>
      <x:c r="C62" s="2" t="str">
        <x:v>US10</x:v>
      </x:c>
      <x:c r="D62" s="2" t="str">
        <x:v>Metas de economia</x:v>
      </x:c>
      <x:c r="E62" s="2" t="str">
        <x:v>A taxa histórica é calculada a partir do histórico de metas e seus resultados.</x:v>
      </x:c>
    </x:row>
    <x:row r="63" ht="27.600000381469727">
      <x:c r="A63" s="2" t="str">
        <x:v>US59</x:v>
      </x:c>
      <x:c r="B63" s="2" t="str">
        <x:v>Desafio de despesas essenciais</x:v>
      </x:c>
      <x:c r="C63" s="2" t="str">
        <x:v>US02</x:v>
      </x:c>
      <x:c r="D63" s="2" t="str">
        <x:v>Detalhamento de transações</x:v>
      </x:c>
      <x:c r="E63" s="2" t="str">
        <x:v>O desafio depende da classificação de essencialidade prevista nas regras do domínio de transações.</x:v>
      </x:c>
    </x:row>
    <x:row r="64">
      <x:c r="A64" s="2" t="str">
        <x:v>US59</x:v>
      </x:c>
      <x:c r="B64" s="2" t="str">
        <x:v>Desafio de despesas essenciais</x:v>
      </x:c>
      <x:c r="C64" s="2" t="str">
        <x:v>US05</x:v>
      </x:c>
      <x:c r="D64" s="2" t="str">
        <x:v>Categorias e subcategorias</x:v>
      </x:c>
      <x:c r="E64" s="2" t="str">
        <x:v>RF65 reduz gastos em uma categoria específica.</x:v>
      </x:c>
    </x:row>
    <x:row r="65" ht="100" customHeight="1">
      <x:c r="A65" s="22" t="str">
        <x:v>US18</x:v>
      </x:c>
      <x:c r="B65" s="22" t="str">
        <x:v>Perfis financeiros múltiplos</x:v>
      </x:c>
      <x:c r="C65" s="22" t="str">
        <x:v>US60</x:v>
      </x:c>
      <x:c r="D65" s="22" t="str">
        <x:v>Cadastro e login de usuário</x:v>
      </x:c>
      <x:c r="E65" s="22" t="str">
        <x:v>Perfis pertencem à conta autenticada; RN-ID-01 e RN-ID-03.</x:v>
      </x:c>
    </x:row>
    <x:row r="66" ht="100" customHeight="1">
      <x:c r="A66" s="22" t="str">
        <x:v>US21</x:v>
      </x:c>
      <x:c r="B66" s="22" t="str">
        <x:v>Sincronização entre dispositivos</x:v>
      </x:c>
      <x:c r="C66" s="22" t="str">
        <x:v>US60</x:v>
      </x:c>
      <x:c r="D66" s="22" t="str">
        <x:v>Cadastro e login de usuário</x:v>
      </x:c>
      <x:c r="E66" s="22" t="str">
        <x:v>Sincronização identifica a conta remota; RN-ID-01 e RN-SYNC-01.</x:v>
      </x:c>
    </x:row>
    <x:row r="67" ht="100" customHeight="1">
      <x:c r="A67" s="22" t="str">
        <x:v>US45</x:v>
      </x:c>
      <x:c r="B67" s="22" t="str">
        <x:v>Cota de gastos livres</x:v>
      </x:c>
      <x:c r="C67" s="22" t="str">
        <x:v>US01</x:v>
      </x:c>
      <x:c r="D67" s="22" t="str">
        <x:v>Registro manual de transações</x:v>
      </x:c>
      <x:c r="E67" s="22" t="str">
        <x:v>Marcação explícita no cadastro/edição da despesa; RN-ORC-05.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71a58b18e17407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85" hidden="0" customWidth="1"/>
    <x:col min="4" max="4" width="70" hidden="0" customWidth="1"/>
    <x:col min="5" max="5" width="33" hidden="0" customWidth="1"/>
    <x:col min="6" max="6" width="30" hidden="0" customWidth="1"/>
    <x:col min="7" max="7" width="38" hidden="0" customWidth="1"/>
    <x:col min="8" max="8" width="48" hidden="0" customWidth="1"/>
  </x:cols>
  <x:sheetData>
    <x:row r="1" ht="32" customHeight="1">
      <x:c r="A1" s="17" t="str">
        <x:v>RN</x:v>
      </x:c>
      <x:c r="B1" s="17" t="str">
        <x:v>Status vigente</x:v>
      </x:c>
      <x:c r="C1" s="17" t="str">
        <x:v>Regra vigente / escopo definido</x:v>
      </x:c>
      <x:c r="D1" s="17" t="str">
        <x:v>Ação restante / detalhamento</x:v>
      </x:c>
      <x:c r="E1" s="17" t="str">
        <x:v>RF de origem</x:v>
      </x:c>
      <x:c r="F1" s="17" t="str">
        <x:v>RF impactados</x:v>
      </x:c>
      <x:c r="G1" s="17" t="str">
        <x:v>US vinculadas no backlog</x:v>
      </x:c>
      <x:c r="H1" s="17" t="str">
        <x:v>Fonte e decisão</x:v>
      </x:c>
    </x:row>
    <x:row r="2" ht="80" customHeight="1">
      <x:c r="A2" s="15" t="str">
        <x:v>RN-TRANS-01</x:v>
      </x:c>
      <x:c r="B2" s="15" t="str">
        <x:v>Consolidada</x:v>
      </x:c>
      <x:c r="C2" s="15" t="str">
        <x:v>Saldo atual = saldo inicial + receitas efetivadas − despesas efetivadas. Transações futuras/programadas e transações excluídas/revertidas não compõem o saldo atual.</x:v>
      </x:c>
      <x:c r="D2" s="15" t="str">
        <x:v>Nenhuma decisão estrutural pendente nesta regra.</x:v>
      </x:c>
      <x:c r="E2" s="15" t="str">
        <x:v>RF01, RF08</x:v>
      </x:c>
      <x:c r="F2" s="15" t="str">
        <x:v>RF14, RF22, RF38</x:v>
      </x:c>
      <x:c r="G2" s="15" t="str">
        <x:v>US01, US15</x:v>
      </x:c>
      <x:c r="H2" s="15" t="str">
        <x:v>Regras de negócio: Revisão consolidada, linha 2.</x:v>
      </x:c>
    </x:row>
    <x:row r="3" ht="90" customHeight="1">
      <x:c r="A3" s="15" t="str">
        <x:v>RN-TRANS-02</x:v>
      </x:c>
      <x:c r="B3" s="15" t="str">
        <x:v>Consolidada</x:v>
      </x:c>
      <x:c r="C3" s="15" t="str">
        <x:v>No cadastro manual, tipo, valor, data, hora e descrição são obrigatórios. A descrição identifica a transação, sem campo separado de título/nome. Categoria é obrigatória no cadastro manual comum e pode ser nula no modelo para importação. Exceção explícita: gastos livres marcados conforme RN-ORC-05 podem ficar sem categoria. Essencialidade pode permanecer Não classificada.</x:v>
      </x:c>
      <x:c r="D3" s="15" t="str">
        <x:v>Aplicar a exceção de RN-ORC-05. Layout de importação continua pendente em RN-IMP-01, sem bloquear o cadastro manual.</x:v>
      </x:c>
      <x:c r="E3" s="15" t="str">
        <x:v>RF01</x:v>
      </x:c>
      <x:c r="F3" s="15" t="str">
        <x:v>RF13, RF33, RF61</x:v>
      </x:c>
      <x:c r="G3" s="15" t="str">
        <x:v>US01, US45</x:v>
      </x:c>
      <x:c r="H3" s="15" t="str">
        <x:v>Regras de negócio: Revisão consolidada, linha 3.</x:v>
      </x:c>
    </x:row>
    <x:row r="4" ht="80" customHeight="1">
      <x:c r="A4" s="15" t="str">
        <x:v>RN-TRANS-03</x:v>
      </x:c>
      <x:c r="B4" s="15" t="str">
        <x:v>Consolidada</x:v>
      </x:c>
      <x:c r="C4" s="15" t="str">
        <x:v>Ao reverter uma transação, o sistema remove o registro dos dados financeiros ativos. Antes da exclusão física, registra na auditoria um snapshot suficiente da transação e a data/hora da exclusão. A transação deixa de afetar saldo, orçamentos, relatórios e cálculos. Não é criada transação inversa de estorno.</x:v>
      </x:c>
      <x:c r="D4" s="15" t="str">
        <x:v>Snapshot integral definido por RN-AUD-01; detalhar sua estrutura técnica nas tasks.</x:v>
      </x:c>
      <x:c r="E4" s="15" t="str">
        <x:v>RF40, RF23</x:v>
      </x:c>
      <x:c r="F4" s="15" t="str">
        <x:v>RF08, RF06, RF55</x:v>
      </x:c>
      <x:c r="G4" s="15" t="str">
        <x:v>US04, US40, US44</x:v>
      </x:c>
      <x:c r="H4" s="15" t="str">
        <x:v>Regras de negócio: Revisão consolidada, linha 4.</x:v>
      </x:c>
    </x:row>
    <x:row r="5" ht="80" customHeight="1">
      <x:c r="A5" s="15" t="str">
        <x:v>RN-TRANS-04</x:v>
      </x:c>
      <x:c r="B5" s="15" t="str">
        <x:v>Consolidada</x:v>
      </x:c>
      <x:c r="C5" s="15" t="str">
        <x:v>Transações futuras/programadas aparecem como previstas e não afetam o saldo atual antes da data prevista. Na data configurada, ocorrências recorrentes são adicionadas ao extrato e passam a compor os cálculos atuais.</x:v>
      </x:c>
      <x:c r="D5" s="15" t="str">
        <x:v>Geração única e alterações somente futuras definidas por RN-REC-01.</x:v>
      </x:c>
      <x:c r="E5" s="15" t="str">
        <x:v>RF14, RF20, RF38, RF64</x:v>
      </x:c>
      <x:c r="F5" s="15" t="str">
        <x:v>RF08</x:v>
      </x:c>
      <x:c r="G5" s="15" t="str">
        <x:v>US24, US32</x:v>
      </x:c>
      <x:c r="H5" s="15" t="str">
        <x:v>Regras de negócio: Revisão consolidada, linha 5.</x:v>
      </x:c>
    </x:row>
    <x:row r="6" ht="80" customHeight="1">
      <x:c r="A6" s="15" t="str">
        <x:v>RN-TRANS-05</x:v>
      </x:c>
      <x:c r="B6" s="15" t="str">
        <x:v>Consolidada</x:v>
      </x:c>
      <x:c r="C6" s="15" t="str">
        <x:v>O RF60 será tratado apenas como projeção/simulação das parcelas nos meses futuros, mostrando o comprometimento do orçamento e da renda futura. A simulação não cria transações futuras reais.</x:v>
      </x:c>
      <x:c r="D6" s="15" t="str">
        <x:v>Nenhuma.</x:v>
      </x:c>
      <x:c r="E6" s="15" t="str">
        <x:v>RF60</x:v>
      </x:c>
      <x:c r="F6" s="15" t="str">
        <x:v>RF14, RF38</x:v>
      </x:c>
      <x:c r="G6" s="15" t="str">
        <x:v>US27</x:v>
      </x:c>
      <x:c r="H6" s="15" t="str">
        <x:v>Regras de negócio: Revisão consolidada, linha 6.</x:v>
      </x:c>
    </x:row>
    <x:row r="7" ht="80" customHeight="1">
      <x:c r="A7" s="15" t="str">
        <x:v>RN-CAT-01</x:v>
      </x:c>
      <x:c r="B7" s="15" t="str">
        <x:v>Consolidada</x:v>
      </x:c>
      <x:c r="C7" s="15" t="str">
        <x:v>As categorias principais serão predefinidas. O usuário poderá criar e gerenciar apenas subcategorias personalizadas dentro das categorias principais.</x:v>
      </x:c>
      <x:c r="D7" s="15" t="str">
        <x:v>Nenhuma.</x:v>
      </x:c>
      <x:c r="E7" s="15" t="str">
        <x:v>RF02</x:v>
      </x:c>
      <x:c r="F7" s="15" t="str">
        <x:v>RF03, RF06, RF13, RF33, RF44, RF54, RF71</x:v>
      </x:c>
      <x:c r="G7" s="15" t="str">
        <x:v>US05</x:v>
      </x:c>
      <x:c r="H7" s="15" t="str">
        <x:v>Regras de negócio: Revisão consolidada, linha 7.</x:v>
      </x:c>
    </x:row>
    <x:row r="8" ht="80" customHeight="1">
      <x:c r="A8" s="15" t="str">
        <x:v>RN-CAT-02</x:v>
      </x:c>
      <x:c r="B8" s="15" t="str">
        <x:v>Consolidada</x:v>
      </x:c>
      <x:c r="C8" s="15" t="str">
        <x:v>Despesas podem ser classificadas como Essenciais, Não essenciais ou permanecer Não classificadas. A essencialidade não é obrigatória no cadastro inicial e pode ser preenchida depois pelo usuário ou por regra de automação.</x:v>
      </x:c>
      <x:c r="D8" s="15" t="str">
        <x:v>Nenhuma.</x:v>
      </x:c>
      <x:c r="E8" s="15" t="str">
        <x:v>RF15, RF65, RF70</x:v>
      </x:c>
      <x:c r="F8" s="15" t="str">
        <x:v>Nenhum</x:v>
      </x:c>
      <x:c r="G8" s="15" t="str">
        <x:v>US02, US12, US20, US59</x:v>
      </x:c>
      <x:c r="H8" s="15" t="str">
        <x:v>Regras de negócio: Revisão consolidada, linha 8.</x:v>
      </x:c>
    </x:row>
    <x:row r="9" ht="80" customHeight="1">
      <x:c r="A9" s="15" t="str">
        <x:v>RN-CAT-03</x:v>
      </x:c>
      <x:c r="B9" s="15" t="str">
        <x:v>Consolidada</x:v>
      </x:c>
      <x:c r="C9" s="15" t="str">
        <x:v>Regras em subcategorias têm prioridade sobre regras da categoria principal quando ambas atuarem sobre o mesmo atributo. Para simplificar conflitos, haverá no máximo uma regra ativa por combinação de escopo (categoria/subcategoria) e atributo-alvo; editar uma nova regra para a mesma combinação substitui a anterior.</x:v>
      </x:c>
      <x:c r="D9" s="15" t="str">
        <x:v>Nenhuma.</x:v>
      </x:c>
      <x:c r="E9" s="15" t="str">
        <x:v>RF15</x:v>
      </x:c>
      <x:c r="F9" s="15" t="str">
        <x:v>RF70</x:v>
      </x:c>
      <x:c r="G9" s="15" t="str">
        <x:v>US20</x:v>
      </x:c>
      <x:c r="H9" s="15" t="str">
        <x:v>Regras de negócio: Revisão consolidada, linha 9.</x:v>
      </x:c>
    </x:row>
    <x:row r="10" ht="90" customHeight="1">
      <x:c r="A10" s="15" t="str">
        <x:v>RN-CAT-04</x:v>
      </x:c>
      <x:c r="B10" s="15" t="str">
        <x:v>Consolidada</x:v>
      </x:c>
      <x:c r="C10" s="15" t="str">
        <x:v>A sugestão de categoria pode usar descrições anteriores confirmadas pelo próprio usuário: normalizar a descrição da nova despesa, buscar históricos semelhantes e sugerir a categoria mais recorrente entre esses casos. A sugestão deve poder ser confirmada ou corrigida pelo usuário; a correção alimenta o histórico para sugestões futuras.</x:v>
      </x:c>
      <x:c r="D10" s="15" t="str">
        <x:v>Nenhuma decisão de negócio pendente; detalhes do algoritmo ficam para a decisão técnica.</x:v>
      </x:c>
      <x:c r="E10" s="15" t="str">
        <x:v>RF33</x:v>
      </x:c>
      <x:c r="F10" s="15" t="str">
        <x:v>RF01</x:v>
      </x:c>
      <x:c r="G10" s="15" t="str">
        <x:v>US48</x:v>
      </x:c>
      <x:c r="H10" s="15" t="str">
        <x:v>Regras de negócio: Revisão consolidada, linha 10.</x:v>
      </x:c>
    </x:row>
    <x:row r="11" ht="80" customHeight="1">
      <x:c r="A11" s="15" t="str">
        <x:v>RN-ORC-01</x:v>
      </x:c>
      <x:c r="B11" s="15" t="str">
        <x:v>Consolidada</x:v>
      </x:c>
      <x:c r="C11" s="15" t="str">
        <x:v>Para orçamento de categoria: abaixo de 75% = normal; de 75% até 100% = próximo do limite; acima de 100% = limite excedido. O padrão de proximidade será 75%.</x:v>
      </x:c>
      <x:c r="D11" s="15" t="str">
        <x:v>Atualizar posteriormente o Design System para usar 75% como início de 'próximo do limite'.</x:v>
      </x:c>
      <x:c r="E11" s="15" t="str">
        <x:v>RF03</x:v>
      </x:c>
      <x:c r="F11" s="15" t="str">
        <x:v>RF54</x:v>
      </x:c>
      <x:c r="G11" s="15" t="str">
        <x:v>US06</x:v>
      </x:c>
      <x:c r="H11" s="15" t="str">
        <x:v>Regras de negócio: Revisão consolidada, linha 11.</x:v>
      </x:c>
    </x:row>
    <x:row r="12" ht="80" customHeight="1">
      <x:c r="A12" s="15" t="str">
        <x:v>RN-ORC-02</x:v>
      </x:c>
      <x:c r="B12" s="15" t="str">
        <x:v>Consolidada</x:v>
      </x:c>
      <x:c r="C12" s="15" t="str">
        <x:v>Tipos de orçamento podem coexistir. Uma mesma transação pode afetar o orçamento base da categoria e, quando explicitamente vinculada, também um orçamento contextual/temporário/evento, sem duplicar seu valor nos totais financeiros globais.</x:v>
      </x:c>
      <x:c r="D12" s="15" t="str">
        <x:v>Definir no detalhamento de cada tipo se o vínculo a orçamento contextual é manual ou automático.</x:v>
      </x:c>
      <x:c r="E12" s="15" t="str">
        <x:v>RF03, RF24, RF34, RF42, RF57, RF63</x:v>
      </x:c>
      <x:c r="F12" s="15" t="str">
        <x:v>RF55</x:v>
      </x:c>
      <x:c r="G12" s="15" t="str">
        <x:v>US06, US07, US40, US45</x:v>
      </x:c>
      <x:c r="H12" s="15" t="str">
        <x:v>Regras de negócio: Revisão consolidada, linha 12.</x:v>
      </x:c>
    </x:row>
    <x:row r="13" ht="80" customHeight="1">
      <x:c r="A13" s="15" t="str">
        <x:v>RN-ORC-03</x:v>
      </x:c>
      <x:c r="B13" s="15" t="str">
        <x:v>Consolidada</x:v>
      </x:c>
      <x:c r="C13" s="15" t="str">
        <x:v>Orçamento temporário e orçamento por evento podem compartilhar a mesma estrutura técnica de orçamento contextual, diferenciados por tipo/finalidade, período e nome, mantendo RF42 e RF63 rastreáveis separadamente.</x:v>
      </x:c>
      <x:c r="D13" s="15" t="str">
        <x:v>Registrar posteriormente também nas decisões arquiteturais.</x:v>
      </x:c>
      <x:c r="E13" s="15" t="str">
        <x:v>RF42, RF63</x:v>
      </x:c>
      <x:c r="F13" s="15" t="str">
        <x:v>Nenhum</x:v>
      </x:c>
      <x:c r="G13" s="15" t="str">
        <x:v>US07</x:v>
      </x:c>
      <x:c r="H13" s="15" t="str">
        <x:v>Regras de negócio: Revisão consolidada, linha 13.</x:v>
      </x:c>
    </x:row>
    <x:row r="14" ht="80" customHeight="1">
      <x:c r="A14" s="15" t="str">
        <x:v>RN-ORC-04</x:v>
      </x:c>
      <x:c r="B14" s="15" t="str">
        <x:v>Ajustar</x:v>
      </x:c>
      <x:c r="C14" s="15" t="str">
        <x:v>Dentro do período do orçamento zero, a soma dos valores planejados para as categorias deve ser igual ao total de renda disponível/planejada para o mesmo período. O sistema deve mostrar quanto ainda falta alocar ou quanto foi alocado em excesso.</x:v>
      </x:c>
      <x:c r="D14" s="15" t="str">
        <x:v>Definir o período padrão do orçamento zero e se a diferença bloqueia a finalização ou apenas gera alerta.</x:v>
      </x:c>
      <x:c r="E14" s="15" t="str">
        <x:v>RF46</x:v>
      </x:c>
      <x:c r="F14" s="15" t="str">
        <x:v>RF55</x:v>
      </x:c>
      <x:c r="G14" s="15" t="str">
        <x:v>US09</x:v>
      </x:c>
      <x:c r="H14" s="15" t="str">
        <x:v>Regras de negócio: Revisão consolidada, linha 14.</x:v>
      </x:c>
    </x:row>
    <x:row r="15" ht="80" customHeight="1">
      <x:c r="A15" s="15" t="str">
        <x:v>RN-ORC-05</x:v>
      </x:c>
      <x:c r="B15" s="15" t="str">
        <x:v>Consolidada</x:v>
      </x:c>
      <x:c r="C15" s="15" t="str">
        <x:v>A despesa consome a cota mensal somente quando o usuário marca explicitamente “Contabilizar como gasto livre” no cadastro/edição. Pode permanecer sem categoria. Continua sendo despesa normal para saldo e totais gerais.</x:v>
      </x:c>
      <x:c r="D15" s="15" t="str">
        <x:v>Nenhuma.</x:v>
      </x:c>
      <x:c r="E15" s="15" t="str">
        <x:v>RF57</x:v>
      </x:c>
      <x:c r="F15" s="15" t="str">
        <x:v>RF55</x:v>
      </x:c>
      <x:c r="G15" s="15" t="str">
        <x:v>US01, US40, US45</x:v>
      </x:c>
      <x:c r="H15" s="15" t="str">
        <x:v>Regras de negócio: Revisão consolidada, linha 15.</x:v>
      </x:c>
    </x:row>
    <x:row r="16" ht="80" customHeight="1">
      <x:c r="A16" s="15" t="str">
        <x:v>RN-META-01</x:v>
      </x:c>
      <x:c r="B16" s="15" t="str">
        <x:v>Consolidada</x:v>
      </x:c>
      <x:c r="C16" s="15" t="str">
        <x:v>Metas são um módulo separado das receitas/despesas comuns. Cada meta possui valor-alvo, data-limite e aportes próprios registrados no módulo de metas. Aportes aumentam o progresso da meta, mas não são tratados automaticamente como despesa nem alteram o saldo das transações comuns.</x:v>
      </x:c>
      <x:c r="D16" s="15" t="str">
        <x:v>Nenhuma, desde que essa separação seja mantida de forma consistente nos indicadores.</x:v>
      </x:c>
      <x:c r="E16" s="15" t="str">
        <x:v>RF04, RF08</x:v>
      </x:c>
      <x:c r="F16" s="15" t="str">
        <x:v>RF30, RF35</x:v>
      </x:c>
      <x:c r="G16" s="15" t="str">
        <x:v>US10, US15</x:v>
      </x:c>
      <x:c r="H16" s="15" t="str">
        <x:v>Regras de negócio: Revisão consolidada, linha 16.</x:v>
      </x:c>
    </x:row>
    <x:row r="17" ht="80" customHeight="1">
      <x:c r="A17" s="15" t="str">
        <x:v>RN-META-02</x:v>
      </x:c>
      <x:c r="B17" s="15" t="str">
        <x:v>Consolidada</x:v>
      </x:c>
      <x:c r="C17" s="15" t="str">
        <x:v>Sugestão = (valor-alvo − valor já acumulado) dividido pelos dias ou semanas restantes. Quando a data-limite expirar sem atingir a meta, o sistema informa que ela não foi cumprida e quanto faltou aportar. O usuário pode alterar a data-limite para continuar; ao definir nova data, a sugestão é recalculada.</x:v>
      </x:c>
      <x:c r="D17" s="15" t="str">
        <x:v>Nenhuma.</x:v>
      </x:c>
      <x:c r="E17" s="15" t="str">
        <x:v>RF04</x:v>
      </x:c>
      <x:c r="F17" s="15" t="str">
        <x:v>Nenhum</x:v>
      </x:c>
      <x:c r="G17" s="15" t="str">
        <x:v>US10</x:v>
      </x:c>
      <x:c r="H17" s="15" t="str">
        <x:v>Regras de negócio: Revisão consolidada, linha 17.</x:v>
      </x:c>
    </x:row>
    <x:row r="18" ht="80" customHeight="1">
      <x:c r="A18" s="15" t="str">
        <x:v>RN-META-03</x:v>
      </x:c>
      <x:c r="B18" s="15" t="str">
        <x:v>Consolidada</x:v>
      </x:c>
      <x:c r="C18" s="15" t="str">
        <x:v>Uma meta é cumprida quando o valor acumulado atinge ou supera o valor-alvo até a data-limite. A taxa de realização = metas cumpridas ÷ metas encerradas no período × 100. O indicador poderá ser consultado em janelas semestral (6 meses) e anual (12 meses).</x:v>
      </x:c>
      <x:c r="D18" s="15" t="str">
        <x:v>Nenhuma.</x:v>
      </x:c>
      <x:c r="E18" s="15" t="str">
        <x:v>RF35</x:v>
      </x:c>
      <x:c r="F18" s="15" t="str">
        <x:v>RF04</x:v>
      </x:c>
      <x:c r="G18" s="15" t="str">
        <x:v>US58</x:v>
      </x:c>
      <x:c r="H18" s="15" t="str">
        <x:v>Regras de negócio: Revisão consolidada, linha 18.</x:v>
      </x:c>
    </x:row>
    <x:row r="19" ht="80" customHeight="1">
      <x:c r="A19" s="15" t="str">
        <x:v>RN-PERFIL-01</x:v>
      </x:c>
      <x:c r="B19" s="15" t="str">
        <x:v>Consolidada</x:v>
      </x:c>
      <x:c r="C19" s="15" t="str">
        <x:v>Cada perfil mantém isolados seus dados financeiros: transações, categorias/subcategorias, orçamentos, metas, moeda base e configurações financeiras específicas do perfil.</x:v>
      </x:c>
      <x:c r="D19" s="15" t="str">
        <x:v>Definir depois quais preferências puramente visuais são globais do app, não do perfil.</x:v>
      </x:c>
      <x:c r="E19" s="15" t="str">
        <x:v>RF11, RF17</x:v>
      </x:c>
      <x:c r="F19" s="15" t="str">
        <x:v>RF01, RF03, RF04, RF08, RF16</x:v>
      </x:c>
      <x:c r="G19" s="15" t="str">
        <x:v>US18, US22, US60</x:v>
      </x:c>
      <x:c r="H19" s="15" t="str">
        <x:v>Regras de negócio: Revisão consolidada, linha 19.</x:v>
      </x:c>
    </x:row>
    <x:row r="20" ht="80" customHeight="1">
      <x:c r="A20" s="15" t="str">
        <x:v>RN-PERFIL-02</x:v>
      </x:c>
      <x:c r="B20" s="15" t="str">
        <x:v>Consolidada</x:v>
      </x:c>
      <x:c r="C20" s="15" t="str">
        <x:v>Quando a conta possuir mais de um perfil, após autenticação o usuário escolhe qual perfil acessar. Com um único perfil, ele é selecionado automaticamente. O perfil pode ser trocado durante o uso; todas as consultas e cadastros passam a usar o perfil ativo.</x:v>
      </x:c>
      <x:c r="D20" s="15" t="str">
        <x:v>Nenhuma decisão funcional pendente nesta regra; manter sincronizada com RN-ID-01/RN-ID-02.</x:v>
      </x:c>
      <x:c r="E20" s="15" t="str">
        <x:v>RF11</x:v>
      </x:c>
      <x:c r="F20" s="15" t="str">
        <x:v>RF16</x:v>
      </x:c>
      <x:c r="G20" s="15" t="str">
        <x:v>US18, US60</x:v>
      </x:c>
      <x:c r="H20" s="15" t="str">
        <x:v>Regras de negócio: Revisão consolidada, linha 20.</x:v>
      </x:c>
    </x:row>
    <x:row r="21" ht="80" customHeight="1">
      <x:c r="A21" s="15" t="str">
        <x:v>RN-MET-01</x:v>
      </x:c>
      <x:c r="B21" s="15" t="str">
        <x:v>Consolidada</x:v>
      </x:c>
      <x:c r="C21" s="15" t="str">
        <x:v>Taxa de poupança é uma métrica calculada, não uma porcentagem escolhida pelo usuário. Proposta: ((receitas do período − despesas do período) ÷ receitas do período) × 100. Se a receita do período for zero, a taxa deve ser tratada como não calculável, evitando divisão por zero.</x:v>
      </x:c>
      <x:c r="D21" s="15" t="str">
        <x:v>Nenhuma.</x:v>
      </x:c>
      <x:c r="E21" s="15" t="str">
        <x:v>RF22</x:v>
      </x:c>
      <x:c r="F21" s="15" t="str">
        <x:v>RF62</x:v>
      </x:c>
      <x:c r="G21" s="15" t="str">
        <x:v>US25</x:v>
      </x:c>
      <x:c r="H21" s="15" t="str">
        <x:v>Regras de negócio: Revisão consolidada, linha 21.</x:v>
      </x:c>
    </x:row>
    <x:row r="22" ht="80" customHeight="1">
      <x:c r="A22" s="15" t="str">
        <x:v>RN-MET-02</x:v>
      </x:c>
      <x:c r="B22" s="15" t="str">
        <x:v>Consolidada</x:v>
      </x:c>
      <x:c r="C22" s="15" t="str">
        <x:v>Saldo médio diário = média aritmética do saldo ao final de cada dia dentro do período analisado. O período padrão de visualização será anual, com possibilidade de o usuário selecionar outro período.</x:v>
      </x:c>
      <x:c r="D22" s="15" t="str">
        <x:v>As opções exatas do seletor podem ser detalhadas nos critérios de aceitação/UX sem reabrir a regra de negócio.</x:v>
      </x:c>
      <x:c r="E22" s="15" t="str">
        <x:v>RF22</x:v>
      </x:c>
      <x:c r="F22" s="15" t="str">
        <x:v>RF62</x:v>
      </x:c>
      <x:c r="G22" s="15" t="str">
        <x:v>US25</x:v>
      </x:c>
      <x:c r="H22" s="15" t="str">
        <x:v>Regras de negócio: Revisão consolidada, linha 22.</x:v>
      </x:c>
    </x:row>
    <x:row r="23" ht="80" customHeight="1">
      <x:c r="A23" s="15" t="str">
        <x:v>RN-MET-03</x:v>
      </x:c>
      <x:c r="B23" s="15" t="str">
        <x:v>Pendente</x:v>
      </x:c>
      <x:c r="C23" s="15" t="str">
        <x:v>O indicador de saúde financeira só pode ser implementado depois de definidos componentes, pesos, escala e faixas de interpretação. O RF62 cita dívidas, poupança e controle de gastos, mas não fornece fórmula suficiente.</x:v>
      </x:c>
      <x:c r="D23" s="15" t="str">
        <x:v>Definir a fórmula do indicador de saúde financeira usando apenas dados existentes: métricas participantes, pesos, escala e faixas de interpretação.</x:v>
      </x:c>
      <x:c r="E23" s="15" t="str">
        <x:v>RF62</x:v>
      </x:c>
      <x:c r="F23" s="15" t="str">
        <x:v>RF22</x:v>
      </x:c>
      <x:c r="G23" s="15" t="str">
        <x:v>US50</x:v>
      </x:c>
      <x:c r="H23" s="15" t="str">
        <x:v>Regras de negócio: Revisão consolidada, linha 23.</x:v>
      </x:c>
    </x:row>
    <x:row r="24" ht="80" customHeight="1">
      <x:c r="A24" s="15" t="str">
        <x:v>RN-MET-04</x:v>
      </x:c>
      <x:c r="B24" s="15" t="str">
        <x:v>Ajustar</x:v>
      </x:c>
      <x:c r="C24" s="15" t="str">
        <x:v>A tendência de uma categoria deve comparar períodos equivalentes e usar uma tolerância percentual para separar Aumentando, Diminuindo e Estável. A visualização terá período padrão anual.</x:v>
      </x:c>
      <x:c r="D24" s="15" t="str">
        <x:v>Definir a comparação usada na tendência e a tolerância percentual para classificar como estável.</x:v>
      </x:c>
      <x:c r="E24" s="15" t="str">
        <x:v>RF44</x:v>
      </x:c>
      <x:c r="F24" s="15" t="str">
        <x:v>RF06</x:v>
      </x:c>
      <x:c r="G24" s="15" t="str">
        <x:v>US35</x:v>
      </x:c>
      <x:c r="H24" s="15" t="str">
        <x:v>Regras de negócio: Revisão consolidada, linha 24.</x:v>
      </x:c>
    </x:row>
    <x:row r="25" ht="80" customHeight="1">
      <x:c r="A25" s="15" t="str">
        <x:v>RN-REF-01</x:v>
      </x:c>
      <x:c r="B25" s="15" t="str">
        <x:v>Consolidada</x:v>
      </x:c>
      <x:c r="C25" s="15" t="str">
        <x:v>Ao incluir item na lista de espera, registrar data/hora de entrada e duração do período de reflexão. A duração padrão será 48 horas, podendo ser alterada pelo usuário. A opção de compra permanece indisponível até o horário de liberação.</x:v>
      </x:c>
      <x:c r="D25" s="15" t="str">
        <x:v>Nenhuma.</x:v>
      </x:c>
      <x:c r="E25" s="15" t="str">
        <x:v>RF05</x:v>
      </x:c>
      <x:c r="F25" s="15" t="str">
        <x:v>Nenhum</x:v>
      </x:c>
      <x:c r="G25" s="15" t="str">
        <x:v>US12</x:v>
      </x:c>
      <x:c r="H25" s="15" t="str">
        <x:v>Regras de negócio: Revisão consolidada, linha 25.</x:v>
      </x:c>
    </x:row>
    <x:row r="26" ht="80" customHeight="1">
      <x:c r="A26" s="15" t="str">
        <x:v>RN-REF-02</x:v>
      </x:c>
      <x:c r="B26" s="15" t="str">
        <x:v>Consolidada</x:v>
      </x:c>
      <x:c r="C26" s="15" t="str">
        <x:v>O usuário configura a lista de aplicativos gatilho. Ao detectar a abertura de um deles, o Orca Finance envia uma notificação reflexiva; não bloqueia o aplicativo de comércio eletrônico.</x:v>
      </x:c>
      <x:c r="D26" s="15" t="str">
        <x:v>Nenhuma regra de negócio adicional; permissões Android ficam para decisão técnica.</x:v>
      </x:c>
      <x:c r="E26" s="15" t="str">
        <x:v>RF18</x:v>
      </x:c>
      <x:c r="F26" s="15" t="str">
        <x:v>RF09</x:v>
      </x:c>
      <x:c r="G26" s="15" t="str">
        <x:v>US46</x:v>
      </x:c>
      <x:c r="H26" s="15" t="str">
        <x:v>Regras de negócio: Revisão consolidada, linha 26.</x:v>
      </x:c>
    </x:row>
    <x:row r="27" ht="80" customHeight="1">
      <x:c r="A27" s="15" t="str">
        <x:v>RN-REF-03</x:v>
      </x:c>
      <x:c r="B27" s="15" t="str">
        <x:v>Consolidada</x:v>
      </x:c>
      <x:c r="C27" s="15" t="str">
        <x:v>A frase/pergunta reflexiva é exibida imediatamente antes de finalizar o registro apenas quando a despesa estiver explicitamente classificada como Não essencial. Despesas Não classificadas não disparam esse mecanismo automaticamente.</x:v>
      </x:c>
      <x:c r="D27" s="15" t="str">
        <x:v>Decidir futuramente apenas se a pergunta pode ser dispensada sem resposta; não é necessário para o requisito mínimo.</x:v>
      </x:c>
      <x:c r="E27" s="15" t="str">
        <x:v>RF70</x:v>
      </x:c>
      <x:c r="F27" s="15" t="str">
        <x:v>RF15, RF65</x:v>
      </x:c>
      <x:c r="G27" s="15" t="str">
        <x:v>US12</x:v>
      </x:c>
      <x:c r="H27" s="15" t="str">
        <x:v>Regras de negócio: Revisão consolidada, linha 27.</x:v>
      </x:c>
    </x:row>
    <x:row r="28" ht="80" customHeight="1">
      <x:c r="A28" s="15" t="str">
        <x:v>RN-IMP-01</x:v>
      </x:c>
      <x:c r="B28" s="15" t="str">
        <x:v>Pendente</x:v>
      </x:c>
      <x:c r="C28" s="15" t="str">
        <x:v>A importação aceita somente arquivo no formato predefinido. Cada linha é validada e o usuário visualiza um resumo de registros válidos e rejeitados antes de confirmar. Registros sem categoria podem ser importados como Não classificados.</x:v>
      </x:c>
      <x:c r="D28" s="15" t="str">
        <x:v>Depois da definição do modelo de dados, especificar colunas obrigatórias/opcionais, formatos de data e valor, separador e tratamento de linhas inválidas.</x:v>
      </x:c>
      <x:c r="E28" s="15" t="str">
        <x:v>RF61</x:v>
      </x:c>
      <x:c r="F28" s="15" t="str">
        <x:v>RF01, RF02, RF58</x:v>
      </x:c>
      <x:c r="G28" s="15" t="str">
        <x:v>US42</x:v>
      </x:c>
      <x:c r="H28" s="15" t="str">
        <x:v>Regras de negócio: Revisão consolidada, linha 28.</x:v>
      </x:c>
    </x:row>
    <x:row r="29" ht="80" customHeight="1">
      <x:c r="A29" s="15" t="str">
        <x:v>RN-IMP-02</x:v>
      </x:c>
      <x:c r="B29" s="15" t="str">
        <x:v>Consolidada</x:v>
      </x:c>
      <x:c r="C29" s="15" t="str">
        <x:v>Na importação, registros com combinação equivalente de data, valor, tipo e identificação/descrição serão sinalizados como possíveis duplicatas. O usuário deverá confirmar antes de importar uma duplicata sinalizada.</x:v>
      </x:c>
      <x:c r="D29" s="15" t="str">
        <x:v>Nenhuma.</x:v>
      </x:c>
      <x:c r="E29" s="15" t="str">
        <x:v>RF61</x:v>
      </x:c>
      <x:c r="F29" s="15" t="str">
        <x:v>RF23</x:v>
      </x:c>
      <x:c r="G29" s="15" t="str">
        <x:v>US42</x:v>
      </x:c>
      <x:c r="H29" s="15" t="str">
        <x:v>Regras de negócio: Revisão consolidada, linha 29.</x:v>
      </x:c>
    </x:row>
    <x:row r="30" ht="80" customHeight="1">
      <x:c r="A30" s="15" t="str">
        <x:v>RN-COMP-01</x:v>
      </x:c>
      <x:c r="B30" s="15" t="str">
        <x:v>Consolidada</x:v>
      </x:c>
      <x:c r="C30" s="15" t="str">
        <x:v>Transação compartilhada usa divisão igual como padrão e permite, opcionalmente, divisão personalizada por valor ou percentual. A soma das partes deve corresponder ao total da transação.</x:v>
      </x:c>
      <x:c r="D30" s="15" t="str">
        <x:v>Nenhuma.</x:v>
      </x:c>
      <x:c r="E30" s="15" t="str">
        <x:v>RF39</x:v>
      </x:c>
      <x:c r="F30" s="15" t="str">
        <x:v>Nenhum</x:v>
      </x:c>
      <x:c r="G30" s="15" t="str">
        <x:v>US33</x:v>
      </x:c>
      <x:c r="H30" s="15" t="str">
        <x:v>Regras de negócio: Revisão consolidada, linha 30.</x:v>
      </x:c>
    </x:row>
    <x:row r="31" ht="80" customHeight="1">
      <x:c r="A31" s="15" t="str">
        <x:v>RN-PRECO-01</x:v>
      </x:c>
      <x:c r="B31" s="15" t="str">
        <x:v>Pendente</x:v>
      </x:c>
      <x:c r="C31" s="15" t="str">
        <x:v>Antes de definir a comparação de preço, é necessário decidir o que significa 'média de preços dos últimos meses' e como identificar o mesmo produto. A solução pode usar histórico interno do próprio usuário ou uma fonte externa, mas isso não está definido no requisito.</x:v>
      </x:c>
      <x:c r="D31" s="15" t="str">
        <x:v>Decidir: histórico de preços do próprio usuário ou preço de mercado via fonte/API externa; depois definir identificação do produto.</x:v>
      </x:c>
      <x:c r="E31" s="15" t="str">
        <x:v>RF66</x:v>
      </x:c>
      <x:c r="F31" s="15" t="str">
        <x:v>RF25</x:v>
      </x:c>
      <x:c r="G31" s="15" t="str">
        <x:v>US28</x:v>
      </x:c>
      <x:c r="H31" s="15" t="str">
        <x:v>Regras de negócio: Revisão consolidada, linha 31.</x:v>
      </x:c>
    </x:row>
    <x:row r="32" ht="80" customHeight="1">
      <x:c r="A32" s="15" t="str">
        <x:v>RN-CO-01</x:v>
      </x:c>
      <x:c r="B32" s="15" t="str">
        <x:v>Consolidada</x:v>
      </x:c>
      <x:c r="C32" s="15" t="str">
        <x:v>Para análise de custo de oportunidade, o usuário informa/seleciona a taxa de retorno e o horizonte de tempo da simulação; o sistema calcula o valor futuro hipotético do gasto.</x:v>
      </x:c>
      <x:c r="D32" s="15" t="str">
        <x:v>Nenhuma.</x:v>
      </x:c>
      <x:c r="E32" s="15" t="str">
        <x:v>RF51</x:v>
      </x:c>
      <x:c r="F32" s="15" t="str">
        <x:v>RF32</x:v>
      </x:c>
      <x:c r="G32" s="15" t="str">
        <x:v>US31</x:v>
      </x:c>
      <x:c r="H32" s="15" t="str">
        <x:v>Regras de negócio: Revisão consolidada, linha 32.</x:v>
      </x:c>
    </x:row>
    <x:row r="33" ht="80" customHeight="1">
      <x:c r="A33" s="15" t="str">
        <x:v>RN-CARB-01</x:v>
      </x:c>
      <x:c r="B33" s="15" t="str">
        <x:v>Pendente</x:v>
      </x:c>
      <x:c r="C33" s="15" t="str">
        <x:v>A pegada de carbono permanece pendente até definir uma fonte/metodologia de fatores de emissão e como categorias de consumo serão convertidas em estimativa de carbono.</x:v>
      </x:c>
      <x:c r="D33" s="15" t="str">
        <x:v>Escolher fonte dos fatores e metodologia de cálculo.</x:v>
      </x:c>
      <x:c r="E33" s="15" t="str">
        <x:v>RF53</x:v>
      </x:c>
      <x:c r="F33" s="15" t="str">
        <x:v>Nenhum</x:v>
      </x:c>
      <x:c r="G33" s="15" t="str">
        <x:v>US39</x:v>
      </x:c>
      <x:c r="H33" s="15" t="str">
        <x:v>Regras de negócio: Revisão consolidada, linha 33.</x:v>
      </x:c>
    </x:row>
    <x:row r="34" ht="80" customHeight="1">
      <x:c r="A34" s="15" t="str">
        <x:v>RN-NOT-01</x:v>
      </x:c>
      <x:c r="B34" s="15" t="str">
        <x:v>Consolidada</x:v>
      </x:c>
      <x:c r="C34" s="15" t="str">
        <x:v>Cada tipo de alerta/notificação possui gatilho próprio. Quando o mesmo evento gerar notificações equivalentes simultaneamente, o sistema deve evitar duplicações e consolidar o aviso quando possível.</x:v>
      </x:c>
      <x:c r="D34" s="15" t="str">
        <x:v>Definir na implementação quais notificações podem ser desativadas pelo usuário.</x:v>
      </x:c>
      <x:c r="E34" s="15" t="str">
        <x:v>RF09, RF18, RF26, RF27, RF54, RF64, RF71</x:v>
      </x:c>
      <x:c r="F34" s="15" t="str">
        <x:v>RF03</x:v>
      </x:c>
      <x:c r="G34" s="15" t="str">
        <x:v>US16, US24, US29, US46, US52, US54</x:v>
      </x:c>
      <x:c r="H34" s="15" t="str">
        <x:v>Regras de negócio: Revisão consolidada, linha 34.</x:v>
      </x:c>
    </x:row>
    <x:row r="35" ht="80" customHeight="1">
      <x:c r="A35" s="15" t="str">
        <x:v>RN-NOT-02</x:v>
      </x:c>
      <x:c r="B35" s="15" t="str">
        <x:v>Consolidada</x:v>
      </x:c>
      <x:c r="C35" s="15" t="str">
        <x:v>Para alertas de limite de categoria, o usuário pode escolher push, e-mail ou ambos. O canal e-mail exige endereço associado e tratamento de falha de envio.</x:v>
      </x:c>
      <x:c r="D35" s="15" t="str">
        <x:v>E-mail da conta definido em RN-ID-02. Serviço de envio e tratamento técnico de falhas: detalhar na implementação.</x:v>
      </x:c>
      <x:c r="E35" s="15" t="str">
        <x:v>RF54</x:v>
      </x:c>
      <x:c r="F35" s="15" t="str">
        <x:v>Nenhum</x:v>
      </x:c>
      <x:c r="G35" s="15" t="str">
        <x:v>US29</x:v>
      </x:c>
      <x:c r="H35" s="15" t="str">
        <x:v>Regras de negócio: Revisão consolidada, linha 35.</x:v>
      </x:c>
    </x:row>
    <x:row r="36" ht="80" customHeight="1">
      <x:c r="A36" s="15" t="str">
        <x:v>RN-SYNC-01</x:v>
      </x:c>
      <x:c r="B36" s="15" t="str">
        <x:v>Consolidada</x:v>
      </x:c>
      <x:c r="C36" s="15" t="str">
        <x:v>A sincronização usa persistência em servidor/nuvem. Em conflito de atualização do mesmo registro, será adotada a estratégia 'última atualização aceita vence' (last-write-wins), controlada por versão/timestamp do servidor. Em alterações simultâneas, o servidor serializa as gravações e a última versão aceita permanece ativa.</x:v>
      </x:c>
      <x:c r="D36" s="15" t="str">
        <x:v>Registrar a estratégia de versionamento/timestamp na arquitetura/backend quando essa camada for definida.</x:v>
      </x:c>
      <x:c r="E36" s="15" t="str">
        <x:v>RF16</x:v>
      </x:c>
      <x:c r="F36" s="15" t="str">
        <x:v>RF11, RF23</x:v>
      </x:c>
      <x:c r="G36" s="15" t="str">
        <x:v>US21</x:v>
      </x:c>
      <x:c r="H36" s="15" t="str">
        <x:v>Regras de negócio: Revisão consolidada, linha 36.</x:v>
      </x:c>
    </x:row>
    <x:row r="37" ht="90" customHeight="1">
      <x:c r="A37" s="15" t="str">
        <x:v>RN-AUD-01</x:v>
      </x:c>
      <x:c r="B37" s="15" t="str">
        <x:v>Consolidada</x:v>
      </x:c>
      <x:c r="C37" s="15" t="str">
        <x:v>A auditoria registra criação, edição e exclusão/reversão. Em edição, armazena estado anterior e novo necessários para reconstruir a alteração. Em exclusão física, grava antes da remoção um snapshot integral do estado persistido da transação, tipo de operação e data/hora. Não há restauração enquanto isso não for definido como requisito.</x:v>
      </x:c>
      <x:c r="D37" s="15" t="str">
        <x:v>Nenhuma decisão de negócio pendente; a estrutura técnica do registro de auditoria será detalhada na implementação.</x:v>
      </x:c>
      <x:c r="E37" s="15" t="str">
        <x:v>RF23, RF40</x:v>
      </x:c>
      <x:c r="F37" s="15" t="str">
        <x:v>Nenhum</x:v>
      </x:c>
      <x:c r="G37" s="15" t="str">
        <x:v>US04, US44</x:v>
      </x:c>
      <x:c r="H37" s="15" t="str">
        <x:v>Regras de negócio: Revisão consolidada, linha 37.</x:v>
      </x:c>
    </x:row>
    <x:row r="38" ht="80" customHeight="1">
      <x:c r="A38" s="15" t="str">
        <x:v>RN-REC-01</x:v>
      </x:c>
      <x:c r="B38" s="15" t="str">
        <x:v>Consolidada</x:v>
      </x:c>
      <x:c r="C38" s="15" t="str">
        <x:v>Cada recorrência deve gerar uma ocorrência no extrato uma única vez na data configurada. Alterações na regra de recorrência devem afetar somente ocorrências futuras; ocorrências já efetivadas permanecem como histórico.</x:v>
      </x:c>
      <x:c r="D38" s="15" t="str">
        <x:v>Nenhuma.</x:v>
      </x:c>
      <x:c r="E38" s="15" t="str">
        <x:v>RF20, RF64</x:v>
      </x:c>
      <x:c r="F38" s="15" t="str">
        <x:v>RF14, RF38</x:v>
      </x:c>
      <x:c r="G38" s="15" t="str">
        <x:v>US24</x:v>
      </x:c>
      <x:c r="H38" s="15" t="str">
        <x:v>Regras de negócio: Revisão consolidada, linha 38.</x:v>
      </x:c>
    </x:row>
    <x:row r="39" ht="80" customHeight="1">
      <x:c r="A39" s="15" t="str">
        <x:v>RN-MOEDA-01</x:v>
      </x:c>
      <x:c r="B39" s="15" t="str">
        <x:v>Consolidada</x:v>
      </x:c>
      <x:c r="C39" s="15" t="str">
        <x:v>Ao registrar gasto em moeda estrangeira, salvar valor e moeda originais, taxa de câmbio utilizada e valor convertido para a moeda base do perfil. A conversão histórica não deve mudar retroativamente quando a cotação futura variar.</x:v>
      </x:c>
      <x:c r="D39" s="15" t="str">
        <x:v>Nenhuma decisão de negócio pendente; falhas da API ficam para tratamento técnico.</x:v>
      </x:c>
      <x:c r="E39" s="15" t="str">
        <x:v>RF17</x:v>
      </x:c>
      <x:c r="F39" s="15" t="str">
        <x:v>RF01, RF06, RF08</x:v>
      </x:c>
      <x:c r="G39" s="15" t="str">
        <x:v>US22</x:v>
      </x:c>
      <x:c r="H39" s="15" t="str">
        <x:v>Regras de negócio: Revisão consolidada, linha 39.</x:v>
      </x:c>
    </x:row>
    <x:row r="40" ht="80" customHeight="1">
      <x:c r="A40" s="15" t="str">
        <x:v>RN-SAUDE-01</x:v>
      </x:c>
      <x:c r="B40" s="15" t="str">
        <x:v>Consolidada</x:v>
      </x:c>
      <x:c r="C40" s="15" t="str">
        <x:v>Nesta versão, o indicador de saúde financeira não utilizará dívida como componente, pois não existe requisito/entidade que forneça esse dado. O score deverá ser calculado apenas com métricas realmente disponíveis no aplicativo.</x:v>
      </x:c>
      <x:c r="D40" s="15" t="str">
        <x:v>Nenhuma nesta regra. A composição/pesos do score continuam pendentes em RN-MET-03.</x:v>
      </x:c>
      <x:c r="E40" s="15" t="str">
        <x:v>RF62</x:v>
      </x:c>
      <x:c r="F40" s="15" t="str">
        <x:v>RF58, RF60, RF64</x:v>
      </x:c>
      <x:c r="G40" s="15" t="str">
        <x:v>US50</x:v>
      </x:c>
      <x:c r="H40" s="15" t="str">
        <x:v>Regras de negócio: Revisão consolidada, linha 40.</x:v>
      </x:c>
    </x:row>
    <x:row r="41" ht="80" customHeight="1">
      <x:c r="A41" s="15" t="str">
        <x:v>RN-LIM-01</x:v>
      </x:c>
      <x:c r="B41" s="15" t="str">
        <x:v>Consolidada</x:v>
      </x:c>
      <x:c r="C41" s="15" t="str">
        <x:v>O limite do RF27 permanece diário e reinicia a cada dia. Para os limites/regras configuráveis dos RF54 e RF71, o próprio usuário define os parâmetros aplicáveis; cada regra deve registrar explicitamente seu limite/percentual, período e, quando necessário, a base de renda utilizada.</x:v>
      </x:c>
      <x:c r="D41" s="15" t="str">
        <x:v>Nenhuma decisão estrutural pendente; os campos de configuração serão detalhados na US/critério correspondente.</x:v>
      </x:c>
      <x:c r="E41" s="15" t="str">
        <x:v>RF27, RF54, RF71</x:v>
      </x:c>
      <x:c r="F41" s="15" t="str">
        <x:v>RF03, RF09</x:v>
      </x:c>
      <x:c r="G41" s="15" t="str">
        <x:v>US29, US52</x:v>
      </x:c>
      <x:c r="H41" s="15" t="str">
        <x:v>Regras de negócio: Revisão consolidada, linha 41.</x:v>
      </x:c>
    </x:row>
    <x:row r="42" ht="80" customHeight="1">
      <x:c r="A42" s="15" t="str">
        <x:v>RN-ID-01</x:v>
      </x:c>
      <x:c r="B42" s="15" t="str">
        <x:v>Consolidada</x:v>
      </x:c>
      <x:c r="C42" s="15" t="str">
        <x:v>Uma conta autenticada é a identidade remota do usuário e é proprietária de um ou mais perfis financeiros. Após login, o perfil ativo determina o contexto financeiro. O bloqueio biométrico/PIN do RF48 protege apenas o acesso local ao aplicativo e não substitui a autenticação da conta.</x:v>
      </x:c>
      <x:c r="D42" s="15" t="str">
        <x:v>Identificador e unicidade fechados em RN-ID-02. Backend/autenticação: decisão técnica posterior.</x:v>
      </x:c>
      <x:c r="E42" s="15" t="str">
        <x:v>RF16, RF11</x:v>
      </x:c>
      <x:c r="F42" s="15" t="str">
        <x:v>RF48</x:v>
      </x:c>
      <x:c r="G42" s="15" t="str">
        <x:v>US18, US21, US37, US60</x:v>
      </x:c>
      <x:c r="H42" s="15" t="str">
        <x:v>Regras de negócio: Revisão consolidada, linha 42. Status ajustado pela decisão mais recente e conversa 01 - Requisitos e Regras de Negócio.</x:v>
      </x:c>
    </x:row>
    <x:row r="43" ht="80" customHeight="1">
      <x:c r="A43" s="15" t="str">
        <x:v>RN-PDF-01</x:v>
      </x:c>
      <x:c r="B43" s="15" t="str">
        <x:v>Ajustar</x:v>
      </x:c>
      <x:c r="C43" s="15" t="str">
        <x:v>O resumo mensal ficará disponível em um card referente ao mês/perfil, com ação para gerar/exportar o relatório em PDF e então salvar ou compartilhar. A geração será acionada pelo usuário a partir desse card.</x:v>
      </x:c>
      <x:c r="D43" s="15" t="str">
        <x:v>Definir as seções mínimas do PDF e confirmar se o card mensal aparece automaticamente ou depende de alguma configuração do usuário.</x:v>
      </x:c>
      <x:c r="E43" s="15" t="str">
        <x:v>RF68</x:v>
      </x:c>
      <x:c r="F43" s="15" t="str">
        <x:v>RF06, RF08</x:v>
      </x:c>
      <x:c r="G43" s="15" t="str">
        <x:v>US53</x:v>
      </x:c>
      <x:c r="H43" s="15" t="str">
        <x:v>Regras de negócio: Revisão consolidada, linha 43.</x:v>
      </x:c>
    </x:row>
    <x:row r="44" ht="80" customHeight="1">
      <x:c r="A44" s="15" t="str">
        <x:v>RN-ID-02</x:v>
      </x:c>
      <x:c r="B44" s="15" t="str">
        <x:v>Consolidada</x:v>
      </x:c>
      <x:c r="C44" s="15" t="str">
        <x:v>Nome, e-mail e senha são obrigatórios no cadastro. O e-mail é o identificador de login e deve ser único entre contas. Cadastro com e-mail já existente é recusado.</x:v>
      </x:c>
      <x:c r="D44" s="15" t="str">
        <x:v>Nenhuma decisão de negócio pendente. Status corrigido conforme decisão do aluno na revisão consolidada, N44, e revisão da conversa de referência.</x:v>
      </x:c>
      <x:c r="E44" s="15" t="str">
        <x:v>Sem RF original explícito — nova US de cadastro inicial do usuário</x:v>
      </x:c>
      <x:c r="F44" s="15" t="str">
        <x:v>RF11, RF16, RF48</x:v>
      </x:c>
      <x:c r="G44" s="15" t="str">
        <x:v>US60</x:v>
      </x:c>
      <x:c r="H44" s="15" t="str">
        <x:v>Regras de negócio: Revisão consolidada, linha 44. Status ajustado pela decisão mais recente e conversa 01 - Requisitos e Regras de Negócio.</x:v>
      </x:c>
    </x:row>
    <x:row r="45" ht="90" customHeight="1">
      <x:c r="A45" s="15" t="str">
        <x:v>RN-ID-03</x:v>
      </x:c>
      <x:c r="B45" s="15" t="str">
        <x:v>Consolidada</x:v>
      </x:c>
      <x:c r="C45" s="15" t="str">
        <x:v>Ao criar a conta, o sistema cria automaticamente o primeiro perfil usando inicialmente o nome da conta/usuário. O perfil pode ser renomeado e novos perfis podem ser criados. Todo perfil novo inicia sem dados financeiros e com saldo R$0. A moeda-base padrão será BRL (Real), podendo ser tratada nas configurações do perfil conforme escopo futuro.</x:v>
      </x:c>
      <x:c r="D45" s="15" t="str">
        <x:v>Nenhuma decisão de negócio pendente. Manter o fluxo pós-cadastro sincronizado no documento de navegação.</x:v>
      </x:c>
      <x:c r="E45" s="15" t="str">
        <x:v>Sem RF original explícito — nova US de cadastro inicial do usuário</x:v>
      </x:c>
      <x:c r="F45" s="15" t="str">
        <x:v>RF08, RF11, RF17</x:v>
      </x:c>
      <x:c r="G45" s="15" t="str">
        <x:v>US60</x:v>
      </x:c>
      <x:c r="H45" s="15" t="str">
        <x:v>Regras de negócio: Revisão consolidada, linha 45.</x:v>
      </x:c>
    </x:row>
    <x:row r="46" ht="80" customHeight="1">
      <x:c r="A46" s="15" t="str">
        <x:v>RN-ID-04</x:v>
      </x:c>
      <x:c r="B46" s="15" t="str">
        <x:v>Consolidada</x:v>
      </x:c>
      <x:c r="C46" s="15" t="str">
        <x:v>Recuperação de acesso e exclusão de conta ficam fora do escopo desta versão. Não devem ser adicionadas implicitamente à US de cadastro/login.</x:v>
      </x:c>
      <x:c r="D46" s="15" t="str">
        <x:v>Nenhuma.</x:v>
      </x:c>
      <x:c r="E46" s="15" t="str">
        <x:v>Sem RF original explícito — nova US de cadastro inicial do usuário</x:v>
      </x:c>
      <x:c r="F46" s="15" t="str">
        <x:v>RF11, RF16</x:v>
      </x:c>
      <x:c r="G46" s="15" t="str">
        <x:v>US60</x:v>
      </x:c>
      <x:c r="H46" s="15" t="str">
        <x:v>Regras de negócio: Revisão consolidada, linha 46.</x:v>
      </x:c>
    </x:row>
  </x:sheetData>
  <x:conditionalFormatting sqref="B2:B46">
    <x:cfRule type="containsText" dxfId="23" priority="1" operator="containsText" text="Pendente"/>
    <x:cfRule type="containsText" dxfId="24" priority="2" operator="containsText" text="Ajustar"/>
  </x:conditionalFormatting>
  <x:pageMargins left="0.7" right="0.7" top="0.75" bottom="0.75" header="0.3" footer="0.3"/>
  <x:tableParts count="1">
    <x:tablePart xmlns:r="http://schemas.openxmlformats.org/officeDocument/2006/relationships" r:id="R5746e06218c34802"/>
  </x:tableParts>
</x:worksheet>
</file>